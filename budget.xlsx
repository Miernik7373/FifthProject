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-A301-03\Downloads\"/>
    </mc:Choice>
  </mc:AlternateContent>
  <xr:revisionPtr revIDLastSave="0" documentId="13_ncr:1_{AA046E05-8527-47F0-AF45-91E82495CD99}" xr6:coauthVersionLast="47" xr6:coauthVersionMax="47" xr10:uidLastSave="{00000000-0000-0000-0000-000000000000}"/>
  <bookViews>
    <workbookView xWindow="-120" yWindow="-120" windowWidth="29040" windowHeight="15840" xr2:uid="{BA450F22-A29B-40B4-AB0A-29371924065E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5" i="1" l="1"/>
  <c r="C7" i="1" s="1"/>
  <c r="W25" i="1"/>
  <c r="B7" i="1" s="1"/>
  <c r="C6" i="1"/>
  <c r="D7" i="1" l="1"/>
  <c r="A2" i="1" l="1" a="1"/>
  <c r="A2" i="1" s="1"/>
  <c r="R13" i="1" s="1"/>
  <c r="L25" i="1"/>
  <c r="G25" i="1"/>
  <c r="B6" i="1" s="1"/>
  <c r="D6" i="1" s="1"/>
  <c r="B25" i="1"/>
  <c r="B5" i="1" s="1"/>
  <c r="B9" i="1" s="1"/>
  <c r="H13" i="1" a="1"/>
  <c r="C16" i="1" a="1"/>
  <c r="C13" i="1" a="1"/>
  <c r="R14" i="1" l="1"/>
  <c r="R15" i="1"/>
  <c r="R16" i="1"/>
  <c r="R17" i="1"/>
  <c r="H13" i="1"/>
  <c r="C16" i="1"/>
  <c r="C13" i="1"/>
  <c r="D13" i="1" s="1"/>
  <c r="H14" i="1" a="1"/>
  <c r="H22" i="1" a="1"/>
  <c r="H21" i="1" a="1"/>
  <c r="H17" i="1" a="1"/>
  <c r="H19" i="1" a="1"/>
  <c r="H16" i="1" a="1"/>
  <c r="H15" i="1" a="1"/>
  <c r="H18" i="1" a="1"/>
  <c r="H20" i="1" a="1"/>
  <c r="C18" i="1" a="1"/>
  <c r="C15" i="1" a="1"/>
  <c r="C14" i="1" a="1"/>
  <c r="C17" i="1" a="1"/>
  <c r="H20" i="1" l="1"/>
  <c r="H18" i="1"/>
  <c r="H15" i="1"/>
  <c r="H16" i="1"/>
  <c r="H19" i="1"/>
  <c r="H17" i="1"/>
  <c r="H21" i="1"/>
  <c r="H22" i="1"/>
  <c r="H14" i="1"/>
  <c r="D16" i="1"/>
  <c r="C17" i="1"/>
  <c r="D17" i="1" s="1"/>
  <c r="C14" i="1"/>
  <c r="D14" i="1" s="1"/>
  <c r="C15" i="1"/>
  <c r="D15" i="1" s="1"/>
  <c r="C18" i="1"/>
  <c r="D18" i="1" s="1"/>
  <c r="D25" i="1" l="1"/>
  <c r="C25" i="1"/>
  <c r="C5" i="1" s="1"/>
  <c r="D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<sst xmlns="http://schemas.openxmlformats.org/spreadsheetml/2006/main" count="68" uniqueCount="45">
  <si>
    <t>Income</t>
  </si>
  <si>
    <t>Source</t>
  </si>
  <si>
    <t>Planned</t>
  </si>
  <si>
    <t>Actual</t>
  </si>
  <si>
    <t>Scholarship</t>
  </si>
  <si>
    <t>Allowance</t>
  </si>
  <si>
    <t>Expenses</t>
  </si>
  <si>
    <t>Category</t>
  </si>
  <si>
    <t>Bills</t>
  </si>
  <si>
    <t>Water</t>
  </si>
  <si>
    <t>Gas</t>
  </si>
  <si>
    <t>Electricity</t>
  </si>
  <si>
    <t>Rent</t>
  </si>
  <si>
    <t>Internet</t>
  </si>
  <si>
    <t>Phone</t>
  </si>
  <si>
    <t>Subscriptions</t>
  </si>
  <si>
    <t>Service</t>
  </si>
  <si>
    <t>Spotify</t>
  </si>
  <si>
    <t>Netflix</t>
  </si>
  <si>
    <t>Gym</t>
  </si>
  <si>
    <t>Data storage</t>
  </si>
  <si>
    <t>Storytel</t>
  </si>
  <si>
    <t>Entertainment</t>
  </si>
  <si>
    <t>Savings</t>
  </si>
  <si>
    <t>Aim</t>
  </si>
  <si>
    <t>Sum</t>
  </si>
  <si>
    <t>Laptop</t>
  </si>
  <si>
    <t>Month</t>
  </si>
  <si>
    <t>Left</t>
  </si>
  <si>
    <t>Balance</t>
  </si>
  <si>
    <t>Due</t>
  </si>
  <si>
    <t>Financial</t>
  </si>
  <si>
    <t>Gift</t>
  </si>
  <si>
    <t>Other income</t>
  </si>
  <si>
    <t>Salary</t>
  </si>
  <si>
    <t>Accomodation</t>
  </si>
  <si>
    <t>Clothing</t>
  </si>
  <si>
    <t>Groceries</t>
  </si>
  <si>
    <t>Health&amp;Beauty</t>
  </si>
  <si>
    <t>Multimedia</t>
  </si>
  <si>
    <t>Other expences</t>
  </si>
  <si>
    <t>Studies</t>
  </si>
  <si>
    <t>Transportation</t>
  </si>
  <si>
    <t>Summer travelling</t>
  </si>
  <si>
    <t>Rainy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</si>
</sst>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zł&quot;_-;\-* #,##0.00\ &quot;zł&quot;_-;_-* &quot;-&quot;??\ &quot;zł&quot;_-;_-@_-"/>
    <numFmt numFmtId="165" formatCode="_-* #,##0.00\ [$zł-415]_-;\-* #,##0.00\ [$zł-415]_-;_-* &quot;-&quot;??\ [$zł-415]_-;_-@_-"/>
  </numFmts>
  <fonts count="4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rgb="FFC00000"/>
      <name val="Aptos Narrow"/>
      <family val="2"/>
      <charset val="238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E0E4AE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rgb="FFFF7C80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0" fillId="9" borderId="1" xfId="0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165" fontId="0" fillId="2" borderId="1" xfId="0" applyNumberFormat="1" applyFill="1" applyBorder="1"/>
    <xf numFmtId="165" fontId="2" fillId="12" borderId="1" xfId="0" applyNumberFormat="1" applyFont="1" applyFill="1" applyBorder="1"/>
    <xf numFmtId="165" fontId="2" fillId="11" borderId="1" xfId="0" applyNumberFormat="1" applyFont="1" applyFill="1" applyBorder="1"/>
    <xf numFmtId="165" fontId="0" fillId="5" borderId="1" xfId="0" applyNumberFormat="1" applyFill="1" applyBorder="1"/>
    <xf numFmtId="165" fontId="2" fillId="10" borderId="1" xfId="0" applyNumberFormat="1" applyFont="1" applyFill="1" applyBorder="1"/>
    <xf numFmtId="165" fontId="0" fillId="4" borderId="1" xfId="0" applyNumberFormat="1" applyFill="1" applyBorder="1"/>
    <xf numFmtId="165" fontId="2" fillId="7" borderId="1" xfId="0" applyNumberFormat="1" applyFont="1" applyFill="1" applyBorder="1"/>
    <xf numFmtId="165" fontId="0" fillId="6" borderId="1" xfId="1" applyNumberFormat="1" applyFont="1" applyFill="1" applyBorder="1"/>
    <xf numFmtId="165" fontId="2" fillId="8" borderId="1" xfId="1" applyNumberFormat="1" applyFont="1" applyFill="1" applyBorder="1"/>
    <xf numFmtId="0" fontId="0" fillId="16" borderId="1" xfId="0" applyFill="1" applyBorder="1"/>
    <xf numFmtId="165" fontId="0" fillId="16" borderId="1" xfId="0" applyNumberFormat="1" applyFill="1" applyBorder="1"/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165" fontId="2" fillId="12" borderId="0" xfId="0" applyNumberFormat="1" applyFont="1" applyFill="1" applyBorder="1"/>
    <xf numFmtId="0" fontId="0" fillId="17" borderId="1" xfId="0" applyFill="1" applyBorder="1" applyAlignment="1">
      <alignment horizontal="center"/>
    </xf>
    <xf numFmtId="165" fontId="0" fillId="17" borderId="1" xfId="0" applyNumberFormat="1" applyFont="1" applyFill="1" applyBorder="1"/>
    <xf numFmtId="165" fontId="0" fillId="17" borderId="1" xfId="0" applyNumberFormat="1" applyFill="1" applyBorder="1"/>
    <xf numFmtId="0" fontId="0" fillId="17" borderId="1" xfId="0" applyFill="1" applyBorder="1"/>
    <xf numFmtId="0" fontId="2" fillId="18" borderId="1" xfId="0" applyFont="1" applyFill="1" applyBorder="1" applyAlignment="1">
      <alignment horizontal="center"/>
    </xf>
    <xf numFmtId="0" fontId="2" fillId="18" borderId="1" xfId="0" applyFont="1" applyFill="1" applyBorder="1"/>
    <xf numFmtId="0" fontId="0" fillId="19" borderId="5" xfId="0" applyFill="1" applyBorder="1"/>
    <xf numFmtId="0" fontId="0" fillId="2" borderId="5" xfId="0" applyFill="1" applyBorder="1"/>
    <xf numFmtId="0" fontId="0" fillId="20" borderId="5" xfId="0" applyFill="1" applyBorder="1"/>
    <xf numFmtId="0" fontId="0" fillId="16" borderId="5" xfId="0" applyFill="1" applyBorder="1"/>
    <xf numFmtId="14" fontId="3" fillId="5" borderId="1" xfId="0" applyNumberFormat="1" applyFont="1" applyFill="1" applyBorder="1"/>
    <xf numFmtId="14" fontId="3" fillId="4" borderId="1" xfId="0" applyNumberFormat="1" applyFont="1" applyFill="1" applyBorder="1"/>
    <xf numFmtId="0" fontId="3" fillId="4" borderId="1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7C80"/>
      <color rgb="FFE0E4AE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'1'!$B$4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'1'!$A$5:$A$7</c:f>
              <c:strCache>
                <c:ptCount val="3"/>
                <c:pt idx="0">
                  <c:v>Income</c:v>
                </c:pt>
                <c:pt idx="1">
                  <c:v>Expenses</c:v>
                </c:pt>
                <c:pt idx="2">
                  <c:v>Savings</c:v>
                </c:pt>
              </c:strCache>
            </c:strRef>
          </c:cat>
          <c:val>
            <c:numRef>
              <c:f>'1'!$B$5:$B$7</c:f>
              <c:numCache>
                <c:formatCode>_-* #,##0.00\ [$zł-415]_-;\-* #,##0.00\ [$zł-415]_-;_-* "-"??\ [$zł-415]_-;_-@_-</c:formatCode>
                <c:ptCount val="3"/>
                <c:pt idx="0">
                  <c:v>5700</c:v>
                </c:pt>
                <c:pt idx="1">
                  <c:v>3785</c:v>
                </c:pt>
                <c:pt idx="2">
                  <c:v>1905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D-4E77-95BD-18C067C53F35}"/>
            </c:ext>
          </c:extLst>
        </c:ser>
        <c:ser>
          <c:idx val="1"/>
          <c:order val="1"/>
          <c:tx>
            <c:strRef>
              <c:f>'1'!$C$4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'1'!$A$5:$A$7</c:f>
              <c:strCache>
                <c:ptCount val="3"/>
                <c:pt idx="0">
                  <c:v>Income</c:v>
                </c:pt>
                <c:pt idx="1">
                  <c:v>Expenses</c:v>
                </c:pt>
                <c:pt idx="2">
                  <c:v>Savings</c:v>
                </c:pt>
              </c:strCache>
            </c:strRef>
          </c:cat>
          <c:val>
            <c:numRef>
              <c:f>'1'!$C$5:$C$7</c:f>
              <c:numCache>
                <c:formatCode>_-* #,##0.00\ [$zł-415]_-;\-* #,##0.00\ [$zł-415]_-;_-* "-"??\ [$zł-415]_-;_-@_-</c:formatCode>
                <c:ptCount val="3"/>
                <c:pt idx="0">
                  <c:v>5655.5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8D-4E77-95BD-18C067C53F35}"/>
            </c:ext>
          </c:extLst>
        </c:ser>
        <c:ser>
          <c:idx val="2"/>
          <c:order val="2"/>
          <c:tx>
            <c:strRef>
              <c:f>'1'!$D$4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'1'!$A$5:$A$7</c:f>
              <c:strCache>
                <c:ptCount val="3"/>
                <c:pt idx="0">
                  <c:v>Income</c:v>
                </c:pt>
                <c:pt idx="1">
                  <c:v>Expenses</c:v>
                </c:pt>
                <c:pt idx="2">
                  <c:v>Savings</c:v>
                </c:pt>
              </c:strCache>
            </c:strRef>
          </c:cat>
          <c:val>
            <c:numRef>
              <c:f>'1'!$D$5:$D$7</c:f>
              <c:numCache>
                <c:formatCode>_-* #,##0.00\ [$zł-415]_-;\-* #,##0.00\ [$zł-415]_-;_-* "-"??\ [$zł-415]_-;_-@_-</c:formatCode>
                <c:ptCount val="3"/>
                <c:pt idx="0">
                  <c:v>-44.5</c:v>
                </c:pt>
                <c:pt idx="1">
                  <c:v>-3785</c:v>
                </c:pt>
                <c:pt idx="2">
                  <c:v>-1905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8D-4E77-95BD-18C067C53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2383520"/>
        <c:axId val="842362880"/>
      </c:barChart>
      <c:catAx>
        <c:axId val="84238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42362880"/>
        <c:crosses val="autoZero"/>
        <c:auto val="1"/>
        <c:lblAlgn val="ctr"/>
        <c:lblOffset val="100"/>
        <c:noMultiLvlLbl val="0"/>
      </c:catAx>
      <c:valAx>
        <c:axId val="84236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zł-415]_-;\-* #,##0.00\ [$zł-415]_-;_-* &quot;-&quot;??\ [$zł-415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4238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0</xdr:row>
      <xdr:rowOff>1</xdr:rowOff>
    </xdr:from>
    <xdr:to>
      <xdr:col>7</xdr:col>
      <xdr:colOff>785812</xdr:colOff>
      <xdr:row>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04F5B5-ABB5-5D3A-6078-F80EF13D9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592D-B95E-49C1-83CD-9C74D6140E0C}">
  <dimension ref="A1:Y25"/>
  <sheetViews>
    <sheetView tabSelected="1" workbookViewId="0">
      <selection activeCell="K6" sqref="K6"/>
    </sheetView>
  </sheetViews>
  <sheetFormatPr defaultRowHeight="14.25"/>
  <cols>
    <col min="1" max="1" width="11.625" customWidth="1"/>
    <col min="2" max="2" width="10.75" bestFit="1" customWidth="1"/>
    <col min="3" max="3" width="11.125" customWidth="1"/>
    <col min="4" max="4" width="11.25" customWidth="1"/>
    <col min="5" max="5" width="14.5" customWidth="1"/>
    <col min="6" max="6" width="10.75" bestFit="1" customWidth="1"/>
    <col min="7" max="7" width="10.875" customWidth="1"/>
    <col min="8" max="8" width="13.5" customWidth="1"/>
    <col min="10" max="10" width="10.75" bestFit="1" customWidth="1"/>
    <col min="12" max="12" width="11.875" customWidth="1"/>
    <col min="13" max="13" width="10.75" customWidth="1"/>
    <col min="14" max="14" width="9.625" customWidth="1"/>
    <col min="17" max="17" width="10.125" customWidth="1"/>
    <col min="18" max="18" width="10.625" customWidth="1"/>
    <col min="19" max="19" width="10.875" customWidth="1"/>
    <col min="20" max="20" width="7.875" customWidth="1"/>
    <col min="21" max="21" width="10.5" customWidth="1"/>
    <col min="22" max="22" width="10.375" customWidth="1"/>
    <col min="23" max="23" width="10.25" customWidth="1"/>
  </cols>
  <sheetData>
    <row r="1" spans="1:25" ht="15">
      <c r="A1" s="46" t="s">
        <v>27</v>
      </c>
      <c r="B1" s="46"/>
      <c r="C1" s="46"/>
    </row>
    <row r="2" spans="1:25">
      <c r="A2" s="42" t="str" cm="1">
        <f t="array" aca="1" ref="A2" ca="1">_xlfn.TEXTAFTER(CELL("filename",A1),"]")</f>
        <v>1</v>
      </c>
      <c r="B2" s="42"/>
      <c r="C2" s="42"/>
    </row>
    <row r="4" spans="1:25" ht="15">
      <c r="B4" s="47" t="s">
        <v>2</v>
      </c>
      <c r="C4" s="47" t="s">
        <v>3</v>
      </c>
      <c r="D4" s="47" t="s">
        <v>28</v>
      </c>
    </row>
    <row r="5" spans="1:25" ht="15">
      <c r="A5" s="47" t="s">
        <v>0</v>
      </c>
      <c r="B5" s="43">
        <f>B25</f>
        <v>5700</v>
      </c>
      <c r="C5" s="44">
        <f ca="1">C25</f>
        <v>5655.5</v>
      </c>
      <c r="D5" s="44">
        <f ca="1">C5-B5</f>
        <v>-44.5</v>
      </c>
    </row>
    <row r="6" spans="1:25" ht="14.45" customHeight="1">
      <c r="A6" s="47" t="s">
        <v>6</v>
      </c>
      <c r="B6" s="44">
        <f>G25</f>
        <v>3785</v>
      </c>
      <c r="C6" s="44">
        <f>H25</f>
        <v>0</v>
      </c>
      <c r="D6" s="44">
        <f t="shared" ref="D6:D7" si="0">C6-B6</f>
        <v>-3785</v>
      </c>
    </row>
    <row r="7" spans="1:25" ht="15">
      <c r="A7" s="47" t="s">
        <v>23</v>
      </c>
      <c r="B7" s="44">
        <f>W25</f>
        <v>1905</v>
      </c>
      <c r="C7" s="44">
        <f>X25</f>
        <v>0</v>
      </c>
      <c r="D7" s="44">
        <f t="shared" si="0"/>
        <v>-1905</v>
      </c>
    </row>
    <row r="9" spans="1:25" ht="15">
      <c r="A9" s="47" t="s">
        <v>29</v>
      </c>
      <c r="B9" s="44">
        <f>B5-B6+B7</f>
        <v>3820</v>
      </c>
      <c r="C9" s="45"/>
      <c r="D9" s="45"/>
    </row>
    <row r="11" spans="1:25" ht="15">
      <c r="A11" s="35" t="s">
        <v>0</v>
      </c>
      <c r="B11" s="36"/>
      <c r="C11" s="36"/>
      <c r="D11" s="37"/>
      <c r="F11" s="38" t="s">
        <v>6</v>
      </c>
      <c r="G11" s="39"/>
      <c r="H11" s="39"/>
      <c r="I11" s="40"/>
      <c r="K11" s="32" t="s">
        <v>8</v>
      </c>
      <c r="L11" s="33"/>
      <c r="M11" s="33"/>
      <c r="N11" s="33"/>
      <c r="O11" s="34"/>
      <c r="Q11" s="29" t="s">
        <v>15</v>
      </c>
      <c r="R11" s="30"/>
      <c r="S11" s="30"/>
      <c r="T11" s="31"/>
      <c r="V11" s="26" t="s">
        <v>23</v>
      </c>
      <c r="W11" s="27"/>
      <c r="X11" s="27"/>
      <c r="Y11" s="28"/>
    </row>
    <row r="12" spans="1:25">
      <c r="A12" s="12" t="s">
        <v>1</v>
      </c>
      <c r="B12" s="12" t="s">
        <v>2</v>
      </c>
      <c r="C12" s="12" t="s">
        <v>3</v>
      </c>
      <c r="D12" s="12" t="s">
        <v>28</v>
      </c>
      <c r="F12" s="2" t="s">
        <v>7</v>
      </c>
      <c r="G12" s="2" t="s">
        <v>2</v>
      </c>
      <c r="H12" s="2" t="s">
        <v>3</v>
      </c>
      <c r="I12" s="2" t="s">
        <v>28</v>
      </c>
      <c r="K12" s="8" t="s">
        <v>8</v>
      </c>
      <c r="L12" s="8" t="s">
        <v>30</v>
      </c>
      <c r="M12" s="8" t="s">
        <v>2</v>
      </c>
      <c r="N12" s="8" t="s">
        <v>3</v>
      </c>
      <c r="O12" s="8" t="s">
        <v>28</v>
      </c>
      <c r="Q12" s="13" t="s">
        <v>16</v>
      </c>
      <c r="R12" s="13" t="s">
        <v>30</v>
      </c>
      <c r="S12" s="13" t="s">
        <v>2</v>
      </c>
      <c r="T12" s="13" t="s">
        <v>3</v>
      </c>
      <c r="V12" s="14" t="s">
        <v>24</v>
      </c>
      <c r="W12" s="14" t="s">
        <v>2</v>
      </c>
      <c r="X12" s="14" t="s">
        <v>3</v>
      </c>
      <c r="Y12" s="14" t="s">
        <v>28</v>
      </c>
    </row>
    <row r="13" spans="1:25" ht="15">
      <c r="A13" s="48" t="s">
        <v>5</v>
      </c>
      <c r="B13" s="15">
        <v>2500</v>
      </c>
      <c r="C13" s="15" cm="1">
        <f t="array" aca="1" ref="C13" ca="1">_xlfn.XLOOKUP(A13,INDIRECT("'Finanse (1).xlsx'!incomes_"&amp;$A$2&amp;"[Category]"),INDIRECT("'Finanse (1).xlsx'!incomes_"&amp;$A$2&amp;"[Total]"),"",0,1)</f>
        <v>250</v>
      </c>
      <c r="D13" s="15">
        <f ca="1">C13-B13</f>
        <v>-2250</v>
      </c>
      <c r="F13" s="50" t="s">
        <v>35</v>
      </c>
      <c r="G13" s="25">
        <v>100</v>
      </c>
      <c r="H13" s="25" t="e" cm="1">
        <f t="array" aca="1" ref="H13" ca="1">_xlfn.XLOOKUP(F13,INDIRECT("'Finanse (1).xlsx'!expenses_"&amp;$A$2&amp;"[Category]"),INDIRECT("'Finanse(1).xlsx'!expenses_"&amp;$A$2&amp;"[Total]"),"",0,1)</f>
        <v>#REF!</v>
      </c>
      <c r="I13" s="25"/>
      <c r="K13" s="4" t="s">
        <v>11</v>
      </c>
      <c r="L13" s="52">
        <v>45667</v>
      </c>
      <c r="M13" s="18">
        <v>80</v>
      </c>
      <c r="N13" s="4"/>
      <c r="O13" s="4"/>
      <c r="Q13" s="3" t="s">
        <v>17</v>
      </c>
      <c r="R13" s="53">
        <f ca="1">DATE(2025,$A$2,RANDBETWEEN(1,28))</f>
        <v>45661</v>
      </c>
      <c r="S13" s="20">
        <v>12</v>
      </c>
      <c r="T13" s="20"/>
      <c r="V13" s="5" t="s">
        <v>26</v>
      </c>
      <c r="W13" s="22">
        <v>500</v>
      </c>
      <c r="X13" s="22"/>
      <c r="Y13" s="22"/>
    </row>
    <row r="14" spans="1:25" ht="15">
      <c r="A14" s="49" t="s">
        <v>31</v>
      </c>
      <c r="B14" s="15">
        <v>300</v>
      </c>
      <c r="C14" s="15" cm="1">
        <f t="array" aca="1" ref="C14" ca="1">_xlfn.XLOOKUP(A14,INDIRECT("'Finanse (1).xlsx'!incomes_"&amp;$A$2&amp;"[Category]"),INDIRECT("'Finanse (1).xlsx'!incomes_"&amp;$A$2&amp;"[Total]"),"",0,1)</f>
        <v>105.5</v>
      </c>
      <c r="D14" s="15">
        <f t="shared" ref="D14:D18" ca="1" si="1">C14-B14</f>
        <v>-194.5</v>
      </c>
      <c r="F14" s="51" t="s">
        <v>36</v>
      </c>
      <c r="G14" s="25">
        <v>50</v>
      </c>
      <c r="H14" s="25" t="e" cm="1">
        <f t="array" aca="1" ref="H14" ca="1">_xlfn.XLOOKUP(F14,INDIRECT("'Finanse (1).xlsx'!expenses_"&amp;$A$2&amp;"[Category]"),INDIRECT("'Finanse(1).xlsx'!expenses_"&amp;$A$2&amp;"[Total]"),"",0,1)</f>
        <v>#REF!</v>
      </c>
      <c r="I14" s="25"/>
      <c r="K14" s="4" t="s">
        <v>10</v>
      </c>
      <c r="L14" s="52">
        <v>45667</v>
      </c>
      <c r="M14" s="18">
        <v>65</v>
      </c>
      <c r="N14" s="18"/>
      <c r="O14" s="18"/>
      <c r="Q14" s="3" t="s">
        <v>18</v>
      </c>
      <c r="R14" s="53">
        <f t="shared" ref="R14:R17" ca="1" si="2">DATE(2025,$A$2,RANDBETWEEN(1,28))</f>
        <v>45679</v>
      </c>
      <c r="S14" s="20">
        <v>33</v>
      </c>
      <c r="T14" s="20"/>
      <c r="V14" s="5" t="s">
        <v>43</v>
      </c>
      <c r="W14" s="22">
        <v>800</v>
      </c>
      <c r="X14" s="22"/>
      <c r="Y14" s="22"/>
    </row>
    <row r="15" spans="1:25" ht="15">
      <c r="A15" s="48" t="s">
        <v>32</v>
      </c>
      <c r="B15" s="15">
        <v>500</v>
      </c>
      <c r="C15" s="15" cm="1">
        <f t="array" aca="1" ref="C15" ca="1">_xlfn.XLOOKUP(A15,INDIRECT("'Finanse (1).xlsx'!incomes_"&amp;$A$2&amp;"[Category]"),INDIRECT("'Finanse (1).xlsx'!incomes_"&amp;$A$2&amp;"[Total]"),"",0,1)</f>
        <v>0</v>
      </c>
      <c r="D15" s="15">
        <f t="shared" ca="1" si="1"/>
        <v>-500</v>
      </c>
      <c r="F15" s="50" t="s">
        <v>22</v>
      </c>
      <c r="G15" s="25">
        <v>150</v>
      </c>
      <c r="H15" s="25" t="e" cm="1">
        <f t="array" aca="1" ref="H15" ca="1">_xlfn.XLOOKUP(F15,INDIRECT("'Finanse (1).xlsx'!expenses_"&amp;$A$2&amp;"[Category]"),INDIRECT("'Finanse(1).xlsx'!expenses_"&amp;$A$2&amp;"[Total]"),"",0,1)</f>
        <v>#REF!</v>
      </c>
      <c r="I15" s="25"/>
      <c r="K15" s="4" t="s">
        <v>13</v>
      </c>
      <c r="L15" s="52">
        <v>45667</v>
      </c>
      <c r="M15" s="18">
        <v>60</v>
      </c>
      <c r="N15" s="18"/>
      <c r="O15" s="18"/>
      <c r="Q15" s="3" t="s">
        <v>19</v>
      </c>
      <c r="R15" s="53">
        <f t="shared" ca="1" si="2"/>
        <v>45675</v>
      </c>
      <c r="S15" s="20">
        <v>120</v>
      </c>
      <c r="T15" s="20"/>
      <c r="V15" s="5" t="s">
        <v>44</v>
      </c>
      <c r="W15" s="22">
        <v>605</v>
      </c>
      <c r="X15" s="22"/>
      <c r="Y15" s="22"/>
    </row>
    <row r="16" spans="1:25" ht="15">
      <c r="A16" s="49" t="s">
        <v>33</v>
      </c>
      <c r="B16" s="15">
        <v>100</v>
      </c>
      <c r="C16" s="15" cm="1">
        <f t="array" aca="1" ref="C16" ca="1">_xlfn.XLOOKUP(A16,INDIRECT("'Finanse (1).xlsx'!incomes_"&amp;$A$2&amp;"[Category]"),INDIRECT("'Finanse (1).xlsx'!incomes_"&amp;$A$2&amp;"[Total]"),"",0,1)+800</f>
        <v>800</v>
      </c>
      <c r="D16" s="15">
        <f t="shared" ca="1" si="1"/>
        <v>700</v>
      </c>
      <c r="F16" s="51" t="s">
        <v>37</v>
      </c>
      <c r="G16" s="25">
        <v>75</v>
      </c>
      <c r="H16" s="25" t="e" cm="1">
        <f t="array" aca="1" ref="H16" ca="1">_xlfn.XLOOKUP(F16,INDIRECT("'Finanse (1).xlsx'!expenses_"&amp;$A$2&amp;"[Category]"),INDIRECT("'Finanse(1).xlsx'!expenses_"&amp;$A$2&amp;"[Total]"),"",0,1)</f>
        <v>#REF!</v>
      </c>
      <c r="I16" s="25"/>
      <c r="K16" s="4" t="s">
        <v>14</v>
      </c>
      <c r="L16" s="52">
        <v>45667</v>
      </c>
      <c r="M16" s="18">
        <v>40</v>
      </c>
      <c r="N16" s="18"/>
      <c r="O16" s="18"/>
      <c r="Q16" s="3" t="s">
        <v>20</v>
      </c>
      <c r="R16" s="53">
        <f t="shared" ca="1" si="2"/>
        <v>45660</v>
      </c>
      <c r="S16" s="20">
        <v>15</v>
      </c>
      <c r="T16" s="20"/>
      <c r="V16" s="5"/>
      <c r="W16" s="22"/>
      <c r="X16" s="22"/>
      <c r="Y16" s="22"/>
    </row>
    <row r="17" spans="1:25" ht="15">
      <c r="A17" s="48" t="s">
        <v>34</v>
      </c>
      <c r="B17" s="15">
        <v>1500</v>
      </c>
      <c r="C17" s="15" cm="1">
        <f t="array" aca="1" ref="C17" ca="1">_xlfn.XLOOKUP(A17,INDIRECT("'Finanse (1).xlsx'!incomes_"&amp;$A$2&amp;"[Category]"),INDIRECT("'Finanse (1).xlsx'!incomes_"&amp;$A$2&amp;"[Total]"),"",0,1)</f>
        <v>4500</v>
      </c>
      <c r="D17" s="15">
        <f t="shared" ca="1" si="1"/>
        <v>3000</v>
      </c>
      <c r="F17" s="50" t="s">
        <v>38</v>
      </c>
      <c r="G17" s="25">
        <v>120</v>
      </c>
      <c r="H17" s="25" t="e" cm="1">
        <f t="array" aca="1" ref="H17" ca="1">_xlfn.XLOOKUP(F17,INDIRECT("'Finanse (1).xlsx'!expenses_"&amp;$A$2&amp;"[Category]"),INDIRECT("'Finanse(1).xlsx'!expenses_"&amp;$A$2&amp;"[Total]"),"",0,1)</f>
        <v>#REF!</v>
      </c>
      <c r="I17" s="25"/>
      <c r="K17" s="4" t="s">
        <v>12</v>
      </c>
      <c r="L17" s="52">
        <v>45667</v>
      </c>
      <c r="M17" s="18">
        <v>2000</v>
      </c>
      <c r="N17" s="18"/>
      <c r="O17" s="18"/>
      <c r="Q17" s="3" t="s">
        <v>21</v>
      </c>
      <c r="R17" s="53">
        <f t="shared" ca="1" si="2"/>
        <v>45661</v>
      </c>
      <c r="S17" s="20">
        <v>23</v>
      </c>
      <c r="T17" s="20"/>
      <c r="V17" s="5"/>
      <c r="W17" s="22"/>
      <c r="X17" s="22"/>
      <c r="Y17" s="22"/>
    </row>
    <row r="18" spans="1:25" ht="15">
      <c r="A18" s="49" t="s">
        <v>4</v>
      </c>
      <c r="B18" s="15">
        <v>800</v>
      </c>
      <c r="C18" s="15" cm="1">
        <f t="array" aca="1" ref="C18" ca="1">_xlfn.XLOOKUP(A18,INDIRECT("'Finanse (1).xlsx'!incomes_"&amp;$A$2&amp;"[Category]"),INDIRECT("'Finanse (1).xlsx'!incomes_"&amp;$A$2&amp;"[Total]"),"",0,1)</f>
        <v>0</v>
      </c>
      <c r="D18" s="15">
        <f t="shared" ca="1" si="1"/>
        <v>-800</v>
      </c>
      <c r="F18" s="51" t="s">
        <v>39</v>
      </c>
      <c r="G18" s="25">
        <v>700</v>
      </c>
      <c r="H18" s="25" t="e" cm="1">
        <f t="array" aca="1" ref="H18" ca="1">_xlfn.XLOOKUP(F18,INDIRECT("'Finanse (1).xlsx'!expenses_"&amp;$A$2&amp;"[Category]"),INDIRECT("'Finanse(1).xlsx'!expenses_"&amp;$A$2&amp;"[Total]"),"",0,1)</f>
        <v>#REF!</v>
      </c>
      <c r="I18" s="25"/>
      <c r="K18" s="4" t="s">
        <v>9</v>
      </c>
      <c r="L18" s="52">
        <v>45667</v>
      </c>
      <c r="M18" s="18">
        <v>45</v>
      </c>
      <c r="N18" s="18"/>
      <c r="O18" s="18"/>
      <c r="Q18" s="3"/>
      <c r="R18" s="54"/>
      <c r="S18" s="20"/>
      <c r="T18" s="20"/>
      <c r="V18" s="5"/>
      <c r="W18" s="22"/>
      <c r="X18" s="22"/>
      <c r="Y18" s="22"/>
    </row>
    <row r="19" spans="1:25" ht="15">
      <c r="A19" s="1"/>
      <c r="B19" s="15"/>
      <c r="C19" s="15"/>
      <c r="D19" s="15"/>
      <c r="F19" s="50" t="s">
        <v>40</v>
      </c>
      <c r="G19" s="25">
        <v>100</v>
      </c>
      <c r="H19" s="25" t="e" cm="1">
        <f t="array" aca="1" ref="H19" ca="1">_xlfn.XLOOKUP(F19,INDIRECT("'Finanse (1).xlsx'!expenses_"&amp;$A$2&amp;"[Category]"),INDIRECT("'Finanse(1).xlsx'!expenses_"&amp;$A$2&amp;"[Total]"),"",0,1)</f>
        <v>#REF!</v>
      </c>
      <c r="I19" s="25"/>
      <c r="K19" s="4"/>
      <c r="L19" s="52"/>
      <c r="M19" s="18"/>
      <c r="N19" s="18"/>
      <c r="O19" s="18"/>
      <c r="Q19" s="3"/>
      <c r="R19" s="54"/>
      <c r="S19" s="20"/>
      <c r="T19" s="20"/>
      <c r="V19" s="5"/>
      <c r="W19" s="22"/>
      <c r="X19" s="22"/>
      <c r="Y19" s="22"/>
    </row>
    <row r="20" spans="1:25" ht="15">
      <c r="A20" s="1"/>
      <c r="B20" s="15"/>
      <c r="C20" s="15"/>
      <c r="D20" s="15"/>
      <c r="F20" s="51" t="s">
        <v>41</v>
      </c>
      <c r="G20" s="25">
        <v>2290</v>
      </c>
      <c r="H20" s="25" t="e" cm="1">
        <f t="array" aca="1" ref="H20" ca="1">_xlfn.XLOOKUP(F20,INDIRECT("'Finanse (1).xlsx'!expenses_"&amp;$A$2&amp;"[Category]"),INDIRECT("'Finanse(1).xlsx'!expenses_"&amp;$A$2&amp;"[Total]"),"",0,1)</f>
        <v>#REF!</v>
      </c>
      <c r="I20" s="25"/>
      <c r="K20" s="4"/>
      <c r="L20" s="52"/>
      <c r="M20" s="18"/>
      <c r="N20" s="18"/>
      <c r="O20" s="18"/>
      <c r="Q20" s="3"/>
      <c r="R20" s="54"/>
      <c r="S20" s="20"/>
      <c r="T20" s="20"/>
      <c r="V20" s="5"/>
      <c r="W20" s="22"/>
      <c r="X20" s="22"/>
      <c r="Y20" s="22"/>
    </row>
    <row r="21" spans="1:25" ht="15">
      <c r="A21" s="1"/>
      <c r="B21" s="15"/>
      <c r="C21" s="15"/>
      <c r="D21" s="15"/>
      <c r="F21" s="50" t="s">
        <v>42</v>
      </c>
      <c r="G21" s="25">
        <v>100</v>
      </c>
      <c r="H21" s="25" t="e" cm="1">
        <f t="array" aca="1" ref="H21" ca="1">_xlfn.XLOOKUP(F21,INDIRECT("'Finanse (1).xlsx'!expenses_"&amp;$A$2&amp;"[Category]"),INDIRECT("'Finanse(1).xlsx'!expenses_"&amp;$A$2&amp;"[Total]"),"",0,1)</f>
        <v>#REF!</v>
      </c>
      <c r="I21" s="25"/>
      <c r="K21" s="4"/>
      <c r="L21" s="52"/>
      <c r="M21" s="18"/>
      <c r="N21" s="18"/>
      <c r="O21" s="18"/>
      <c r="Q21" s="3"/>
      <c r="R21" s="54"/>
      <c r="S21" s="20"/>
      <c r="T21" s="20"/>
      <c r="V21" s="5"/>
      <c r="W21" s="22"/>
      <c r="X21" s="22"/>
      <c r="Y21" s="22"/>
    </row>
    <row r="22" spans="1:25" ht="15">
      <c r="A22" s="1"/>
      <c r="B22" s="15"/>
      <c r="C22" s="15"/>
      <c r="D22" s="15"/>
      <c r="F22" s="24"/>
      <c r="G22" s="25">
        <v>100</v>
      </c>
      <c r="H22" s="25" t="e" cm="1">
        <f t="array" aca="1" ref="H22" ca="1">_xlfn.XLOOKUP(F22,INDIRECT("'Finanse (1).xlsx'!expenses_"&amp;$A$2&amp;"[Category]"),INDIRECT("'Finanse(1).xlsx'!expenses_"&amp;$A$2&amp;"[Total]"),"",0,1)</f>
        <v>#REF!</v>
      </c>
      <c r="I22" s="25"/>
      <c r="K22" s="4"/>
      <c r="L22" s="52"/>
      <c r="M22" s="18"/>
      <c r="N22" s="18"/>
      <c r="O22" s="18"/>
      <c r="Q22" s="3"/>
      <c r="R22" s="54"/>
      <c r="S22" s="20"/>
      <c r="T22" s="20"/>
      <c r="V22" s="5"/>
      <c r="W22" s="22"/>
      <c r="X22" s="22"/>
      <c r="Y22" s="22"/>
    </row>
    <row r="23" spans="1:25" ht="15">
      <c r="A23" s="1"/>
      <c r="B23" s="15"/>
      <c r="C23" s="15"/>
      <c r="D23" s="15"/>
      <c r="F23" s="24"/>
      <c r="G23" s="25"/>
      <c r="H23" s="25"/>
      <c r="I23" s="25"/>
      <c r="K23" s="4"/>
      <c r="L23" s="52"/>
      <c r="M23" s="18"/>
      <c r="N23" s="18"/>
      <c r="O23" s="18"/>
      <c r="Q23" s="3"/>
      <c r="R23" s="54"/>
      <c r="S23" s="20"/>
      <c r="T23" s="20"/>
      <c r="V23" s="5"/>
      <c r="W23" s="22"/>
      <c r="X23" s="22"/>
      <c r="Y23" s="22"/>
    </row>
    <row r="24" spans="1:25" ht="15">
      <c r="A24" s="1"/>
      <c r="B24" s="15"/>
      <c r="C24" s="15"/>
      <c r="D24" s="15"/>
      <c r="F24" s="24"/>
      <c r="G24" s="25"/>
      <c r="H24" s="25"/>
      <c r="I24" s="25"/>
      <c r="K24" s="4"/>
      <c r="L24" s="52"/>
      <c r="M24" s="18"/>
      <c r="N24" s="18"/>
      <c r="O24" s="18"/>
      <c r="Q24" s="3"/>
      <c r="R24" s="54"/>
      <c r="S24" s="20"/>
      <c r="T24" s="20"/>
      <c r="V24" s="5"/>
      <c r="W24" s="22"/>
      <c r="X24" s="22"/>
      <c r="Y24" s="22"/>
    </row>
    <row r="25" spans="1:25" ht="15">
      <c r="A25" s="11" t="s">
        <v>25</v>
      </c>
      <c r="B25" s="16">
        <f>+SUM(B13:B24)</f>
        <v>5700</v>
      </c>
      <c r="C25" s="16">
        <f ca="1">+SUM(C13:C24)</f>
        <v>5655.5</v>
      </c>
      <c r="D25" s="41">
        <f ca="1">SUM(D13:D24)</f>
        <v>-44.5</v>
      </c>
      <c r="F25" s="10" t="s">
        <v>25</v>
      </c>
      <c r="G25" s="17">
        <f>SUM(G13:G24)</f>
        <v>3785</v>
      </c>
      <c r="H25" s="17">
        <v>0</v>
      </c>
      <c r="I25" s="17"/>
      <c r="K25" s="9" t="s">
        <v>25</v>
      </c>
      <c r="L25" s="19">
        <f>SUM(L13:L24)</f>
        <v>274002</v>
      </c>
      <c r="M25" s="19">
        <v>0</v>
      </c>
      <c r="N25" s="19"/>
      <c r="O25" s="19"/>
      <c r="Q25" s="6" t="s">
        <v>25</v>
      </c>
      <c r="R25" s="21"/>
      <c r="S25" s="21">
        <v>0</v>
      </c>
      <c r="T25" s="21"/>
      <c r="V25" s="7" t="s">
        <v>25</v>
      </c>
      <c r="W25" s="23">
        <f>SUM(W13:W24)</f>
        <v>1905</v>
      </c>
      <c r="X25" s="23">
        <f>SUM(X13:X24)</f>
        <v>0</v>
      </c>
      <c r="Y25" s="23"/>
    </row>
  </sheetData>
  <sortState xmlns:xlrd2="http://schemas.microsoft.com/office/spreadsheetml/2017/richdata2" ref="K13:M18">
    <sortCondition ref="K13:K18"/>
  </sortState>
  <mergeCells count="7">
    <mergeCell ref="F11:I11"/>
    <mergeCell ref="A11:D11"/>
    <mergeCell ref="Q11:T11"/>
    <mergeCell ref="K11:O11"/>
    <mergeCell ref="V11:Y11"/>
    <mergeCell ref="A1:C1"/>
    <mergeCell ref="A2:C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Miernik</dc:creator>
  <cp:lastModifiedBy>RisSetupInstall</cp:lastModifiedBy>
  <dcterms:created xsi:type="dcterms:W3CDTF">2025-10-31T09:03:43Z</dcterms:created>
  <dcterms:modified xsi:type="dcterms:W3CDTF">2025-12-12T10:14:07Z</dcterms:modified>
</cp:coreProperties>
</file>