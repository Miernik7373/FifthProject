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jta\Downloads\"/>
    </mc:Choice>
  </mc:AlternateContent>
  <xr:revisionPtr revIDLastSave="0" documentId="13_ncr:1_{760FC6DD-F14A-44BB-9A0C-D6A0EED76E63}" xr6:coauthVersionLast="47" xr6:coauthVersionMax="47" xr10:uidLastSave="{00000000-0000-0000-0000-000000000000}"/>
  <bookViews>
    <workbookView xWindow="-108" yWindow="-108" windowWidth="23256" windowHeight="12456" tabRatio="993" activeTab="4" xr2:uid="{19EE711A-3283-4873-9107-9C9869A047C7}"/>
  </bookViews>
  <sheets>
    <sheet name="dictionary" sheetId="3" r:id="rId1"/>
    <sheet name="operations" sheetId="2" r:id="rId2"/>
    <sheet name="Summary1" sheetId="18" r:id="rId3"/>
    <sheet name="Summary2" sheetId="17" r:id="rId4"/>
    <sheet name="Summary3" sheetId="21" r:id="rId5"/>
    <sheet name="1" sheetId="4" r:id="rId6"/>
    <sheet name="2" sheetId="5" r:id="rId7"/>
    <sheet name="3" sheetId="7" r:id="rId8"/>
    <sheet name="4" sheetId="8" r:id="rId9"/>
    <sheet name="5" sheetId="9" r:id="rId10"/>
    <sheet name="6" sheetId="10" r:id="rId11"/>
    <sheet name="7" sheetId="11" r:id="rId12"/>
    <sheet name="8" sheetId="12" r:id="rId13"/>
    <sheet name="9" sheetId="13" r:id="rId14"/>
    <sheet name="10" sheetId="14" r:id="rId15"/>
    <sheet name="11" sheetId="15" r:id="rId16"/>
    <sheet name="12" sheetId="16" r:id="rId17"/>
  </sheets>
  <definedNames>
    <definedName name="_xlnm._FilterDatabase" localSheetId="0" hidden="1">dictionary!$D$1:$E$207</definedName>
    <definedName name="ExternalData_1" localSheetId="0" hidden="1">dictionary!$A$1:$B$17</definedName>
  </definedName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8" i="2" l="1"/>
  <c r="G208" i="2"/>
  <c r="G4" i="17"/>
  <c r="C9" i="17"/>
  <c r="D9" i="17"/>
  <c r="E9" i="17"/>
  <c r="F9" i="17"/>
  <c r="G9" i="17"/>
  <c r="J9" i="17"/>
  <c r="N10" i="17"/>
  <c r="C17" i="17"/>
  <c r="E17" i="17"/>
  <c r="F17" i="17"/>
  <c r="L17" i="17"/>
  <c r="N17" i="17"/>
  <c r="C6" i="18" a="1"/>
  <c r="C6" i="18" s="1"/>
  <c r="D6" i="18" a="1"/>
  <c r="D6" i="18" s="1"/>
  <c r="G6" i="18" a="1"/>
  <c r="G6" i="18" s="1"/>
  <c r="C9" i="18" a="1"/>
  <c r="C9" i="18" s="1"/>
  <c r="E9" i="18" a="1"/>
  <c r="E9" i="18" s="1"/>
  <c r="J9" i="18" a="1"/>
  <c r="J9" i="18" s="1"/>
  <c r="L9" i="18" a="1"/>
  <c r="L9" i="18" s="1"/>
  <c r="F11" i="18" a="1"/>
  <c r="F11" i="18" s="1"/>
  <c r="G14" i="18" a="1"/>
  <c r="G14" i="18" s="1"/>
  <c r="H14" i="18" a="1"/>
  <c r="H14" i="18" s="1"/>
  <c r="K14" i="18" a="1"/>
  <c r="K14" i="18" s="1"/>
  <c r="L15" i="18" a="1"/>
  <c r="L15" i="18" s="1"/>
  <c r="D16" i="18" a="1"/>
  <c r="D16" i="18" s="1"/>
  <c r="I16" i="18" a="1"/>
  <c r="I16" i="18" s="1"/>
  <c r="K16" i="18" a="1"/>
  <c r="K16" i="18" s="1"/>
  <c r="N16" i="18" a="1"/>
  <c r="N16" i="18" s="1"/>
  <c r="L2" i="18" a="1"/>
  <c r="L2" i="18" s="1"/>
  <c r="B11" i="16" a="1"/>
  <c r="B11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10" a="1"/>
  <c r="B11" i="10" s="1"/>
  <c r="B11" i="9" a="1"/>
  <c r="B11" i="9" s="1"/>
  <c r="B11" i="8" a="1"/>
  <c r="B11" i="8" s="1"/>
  <c r="B11" i="7" a="1"/>
  <c r="B11" i="7" s="1"/>
  <c r="B11" i="5" a="1"/>
  <c r="B11" i="5" s="1"/>
  <c r="B11" i="4" a="1"/>
  <c r="B11" i="4" s="1"/>
  <c r="C9" i="4"/>
  <c r="G2" i="2"/>
  <c r="G3" i="2"/>
  <c r="N15" i="18" s="1" a="1"/>
  <c r="N15" i="18" s="1"/>
  <c r="G4" i="2"/>
  <c r="G5" i="2"/>
  <c r="C5" i="18" s="1" a="1"/>
  <c r="C5" i="18" s="1"/>
  <c r="G6" i="2"/>
  <c r="G7" i="2"/>
  <c r="G8" i="2"/>
  <c r="H15" i="17" s="1"/>
  <c r="G9" i="2"/>
  <c r="G10" i="2"/>
  <c r="G11" i="2"/>
  <c r="G12" i="2"/>
  <c r="G13" i="2"/>
  <c r="G14" i="2"/>
  <c r="G15" i="2"/>
  <c r="G16" i="2"/>
  <c r="H9" i="17" s="1"/>
  <c r="G17" i="2"/>
  <c r="G18" i="2"/>
  <c r="G19" i="2"/>
  <c r="G20" i="2"/>
  <c r="G21" i="2"/>
  <c r="G22" i="2"/>
  <c r="F14" i="18" s="1" a="1"/>
  <c r="F14" i="18" s="1"/>
  <c r="G23" i="2"/>
  <c r="G24" i="2"/>
  <c r="G25" i="2"/>
  <c r="M16" i="17" s="1"/>
  <c r="G26" i="2"/>
  <c r="G27" i="2"/>
  <c r="G28" i="2"/>
  <c r="G29" i="2"/>
  <c r="N5" i="18" s="1" a="1"/>
  <c r="N5" i="18" s="1"/>
  <c r="G30" i="2"/>
  <c r="G31" i="2"/>
  <c r="G32" i="2"/>
  <c r="G33" i="2"/>
  <c r="G34" i="2"/>
  <c r="I9" i="17" s="1"/>
  <c r="G35" i="2"/>
  <c r="G36" i="2"/>
  <c r="G37" i="2"/>
  <c r="G38" i="2"/>
  <c r="G39" i="2"/>
  <c r="G40" i="2"/>
  <c r="C6" i="17" s="1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C13" i="18" s="1" a="1"/>
  <c r="C13" i="18" s="1"/>
  <c r="G61" i="2"/>
  <c r="G62" i="2"/>
  <c r="G63" i="2"/>
  <c r="G64" i="2"/>
  <c r="G65" i="2"/>
  <c r="G66" i="2"/>
  <c r="G67" i="2"/>
  <c r="G68" i="2"/>
  <c r="G69" i="2"/>
  <c r="C3" i="18" s="1" a="1"/>
  <c r="C3" i="18" s="1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H15" i="18" s="1" a="1"/>
  <c r="H15" i="18" s="1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J17" i="18" s="1" a="1"/>
  <c r="J17" i="18" s="1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E10" i="18" s="1" a="1"/>
  <c r="E10" i="18" s="1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3" i="18" s="1" a="1"/>
  <c r="G13" i="18" s="1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I10" i="18" l="1" a="1"/>
  <c r="I10" i="18" s="1"/>
  <c r="L7" i="17"/>
  <c r="K7" i="18" a="1"/>
  <c r="K7" i="18" s="1"/>
  <c r="M7" i="17"/>
  <c r="M7" i="18" a="1"/>
  <c r="M7" i="18" s="1"/>
  <c r="N7" i="18" a="1"/>
  <c r="N7" i="18" s="1"/>
  <c r="C7" i="17"/>
  <c r="C7" i="18" a="1"/>
  <c r="C7" i="18" s="1"/>
  <c r="D7" i="17"/>
  <c r="D7" i="18" a="1"/>
  <c r="D7" i="18" s="1"/>
  <c r="E7" i="17"/>
  <c r="F7" i="17"/>
  <c r="E7" i="18" a="1"/>
  <c r="E7" i="18" s="1"/>
  <c r="G7" i="17"/>
  <c r="F7" i="18" a="1"/>
  <c r="F7" i="18" s="1"/>
  <c r="D6" i="17"/>
  <c r="M19" i="17"/>
  <c r="M20" i="17" s="1"/>
  <c r="E4" i="17"/>
  <c r="K2" i="18" a="1"/>
  <c r="K2" i="18" s="1"/>
  <c r="M5" i="18" a="1"/>
  <c r="M5" i="18" s="1"/>
  <c r="E12" i="17"/>
  <c r="M11" i="18" a="1"/>
  <c r="M11" i="18" s="1"/>
  <c r="K12" i="17"/>
  <c r="C11" i="18" a="1"/>
  <c r="C11" i="18" s="1"/>
  <c r="L12" i="17"/>
  <c r="N12" i="17"/>
  <c r="D11" i="18" a="1"/>
  <c r="D11" i="18" s="1"/>
  <c r="G11" i="18" a="1"/>
  <c r="G11" i="18" s="1"/>
  <c r="J2" i="18" a="1"/>
  <c r="J2" i="18" s="1"/>
  <c r="N17" i="18" a="1"/>
  <c r="N17" i="18" s="1"/>
  <c r="E19" i="17"/>
  <c r="E20" i="17" s="1"/>
  <c r="M2" i="18" a="1"/>
  <c r="M2" i="18" s="1"/>
  <c r="N2" i="18" a="1"/>
  <c r="N2" i="18" s="1"/>
  <c r="D2" i="17"/>
  <c r="E2" i="17"/>
  <c r="F2" i="17"/>
  <c r="I2" i="17"/>
  <c r="G2" i="17"/>
  <c r="H2" i="17"/>
  <c r="J2" i="17"/>
  <c r="D2" i="18" a="1"/>
  <c r="D2" i="18" s="1"/>
  <c r="K2" i="17"/>
  <c r="E2" i="18" a="1"/>
  <c r="E2" i="18" s="1"/>
  <c r="L2" i="17"/>
  <c r="F2" i="18" a="1"/>
  <c r="F2" i="18" s="1"/>
  <c r="M2" i="17"/>
  <c r="G2" i="18" a="1"/>
  <c r="G2" i="18" s="1"/>
  <c r="N2" i="17"/>
  <c r="C2" i="17"/>
  <c r="I2" i="18" a="1"/>
  <c r="I2" i="18" s="1"/>
  <c r="C2" i="18" a="1"/>
  <c r="C2" i="18" s="1"/>
  <c r="L4" i="18" a="1"/>
  <c r="L4" i="18" s="1"/>
  <c r="D14" i="18" a="1"/>
  <c r="D14" i="18" s="1"/>
  <c r="N7" i="17"/>
  <c r="I6" i="4"/>
  <c r="F15" i="17"/>
  <c r="L13" i="17"/>
  <c r="E15" i="17"/>
  <c r="E3" i="18" a="1"/>
  <c r="E3" i="18" s="1"/>
  <c r="M8" i="18" a="1"/>
  <c r="M8" i="18" s="1"/>
  <c r="H7" i="17"/>
  <c r="L8" i="18" a="1"/>
  <c r="L8" i="18" s="1"/>
  <c r="L7" i="18" a="1"/>
  <c r="L7" i="18" s="1"/>
  <c r="K11" i="18" a="1"/>
  <c r="K11" i="18" s="1"/>
  <c r="I13" i="17"/>
  <c r="I7" i="18" a="1"/>
  <c r="I7" i="18" s="1"/>
  <c r="D4" i="17"/>
  <c r="N16" i="17"/>
  <c r="C10" i="18" a="1"/>
  <c r="C10" i="18" s="1"/>
  <c r="J4" i="18" a="1"/>
  <c r="J4" i="18" s="1"/>
  <c r="I4" i="18" a="1"/>
  <c r="I4" i="18" s="1"/>
  <c r="E13" i="18" a="1"/>
  <c r="E13" i="18" s="1"/>
  <c r="F13" i="18" a="1"/>
  <c r="F13" i="18" s="1"/>
  <c r="C14" i="17"/>
  <c r="H13" i="18" a="1"/>
  <c r="H13" i="18" s="1"/>
  <c r="G14" i="17"/>
  <c r="D14" i="17"/>
  <c r="H14" i="17"/>
  <c r="E14" i="17"/>
  <c r="I13" i="18" a="1"/>
  <c r="I13" i="18" s="1"/>
  <c r="F14" i="17"/>
  <c r="J13" i="18" a="1"/>
  <c r="J13" i="18" s="1"/>
  <c r="K13" i="18" a="1"/>
  <c r="K13" i="18" s="1"/>
  <c r="I14" i="17"/>
  <c r="L13" i="18" a="1"/>
  <c r="L13" i="18" s="1"/>
  <c r="J14" i="17"/>
  <c r="M13" i="18" a="1"/>
  <c r="M13" i="18" s="1"/>
  <c r="K14" i="17"/>
  <c r="N13" i="18" a="1"/>
  <c r="N13" i="18" s="1"/>
  <c r="L14" i="17"/>
  <c r="M14" i="17"/>
  <c r="N14" i="17"/>
  <c r="F17" i="18" a="1"/>
  <c r="F17" i="18" s="1"/>
  <c r="I3" i="18" a="1"/>
  <c r="I3" i="18" s="1"/>
  <c r="K7" i="17"/>
  <c r="E17" i="18" a="1"/>
  <c r="E17" i="18" s="1"/>
  <c r="F3" i="18" a="1"/>
  <c r="F3" i="18" s="1"/>
  <c r="J7" i="17"/>
  <c r="N12" i="18" a="1"/>
  <c r="N12" i="18" s="1"/>
  <c r="D15" i="17"/>
  <c r="D3" i="18" a="1"/>
  <c r="D3" i="18" s="1"/>
  <c r="K12" i="18" a="1"/>
  <c r="K12" i="18" s="1"/>
  <c r="K13" i="17"/>
  <c r="I4" i="17"/>
  <c r="J13" i="17"/>
  <c r="K19" i="17"/>
  <c r="K20" i="17" s="1"/>
  <c r="N5" i="17"/>
  <c r="J11" i="18" a="1"/>
  <c r="J11" i="18" s="1"/>
  <c r="M5" i="17"/>
  <c r="L19" i="17"/>
  <c r="L20" i="17" s="1"/>
  <c r="I11" i="18" a="1"/>
  <c r="I11" i="18" s="1"/>
  <c r="H7" i="18" a="1"/>
  <c r="H7" i="18" s="1"/>
  <c r="I19" i="17"/>
  <c r="I20" i="17" s="1"/>
  <c r="F12" i="17"/>
  <c r="L5" i="17"/>
  <c r="F4" i="18" a="1"/>
  <c r="F4" i="18" s="1"/>
  <c r="C8" i="17"/>
  <c r="H8" i="17"/>
  <c r="D8" i="17"/>
  <c r="E8" i="18" a="1"/>
  <c r="E8" i="18" s="1"/>
  <c r="E8" i="17"/>
  <c r="F8" i="17"/>
  <c r="C8" i="18" a="1"/>
  <c r="C8" i="18" s="1"/>
  <c r="G8" i="17"/>
  <c r="D8" i="18" a="1"/>
  <c r="D8" i="18" s="1"/>
  <c r="I8" i="17"/>
  <c r="F8" i="18" a="1"/>
  <c r="F8" i="18" s="1"/>
  <c r="J8" i="17"/>
  <c r="G8" i="18" a="1"/>
  <c r="G8" i="18" s="1"/>
  <c r="K8" i="17"/>
  <c r="H8" i="18" a="1"/>
  <c r="H8" i="18" s="1"/>
  <c r="L8" i="17"/>
  <c r="I8" i="18" a="1"/>
  <c r="I8" i="18" s="1"/>
  <c r="M8" i="17"/>
  <c r="J8" i="18" a="1"/>
  <c r="J8" i="18" s="1"/>
  <c r="N8" i="17"/>
  <c r="K8" i="18" a="1"/>
  <c r="K8" i="18" s="1"/>
  <c r="K15" i="18" a="1"/>
  <c r="K15" i="18" s="1"/>
  <c r="M10" i="17"/>
  <c r="F4" i="17"/>
  <c r="F10" i="18" a="1"/>
  <c r="F10" i="18" s="1"/>
  <c r="L10" i="17"/>
  <c r="C16" i="17"/>
  <c r="E15" i="18" a="1"/>
  <c r="E15" i="18" s="1"/>
  <c r="D15" i="18" a="1"/>
  <c r="D15" i="18" s="1"/>
  <c r="C15" i="18" a="1"/>
  <c r="C15" i="18" s="1"/>
  <c r="D16" i="17"/>
  <c r="E16" i="17"/>
  <c r="F16" i="17"/>
  <c r="F15" i="18" a="1"/>
  <c r="F15" i="18" s="1"/>
  <c r="G16" i="17"/>
  <c r="G15" i="18" a="1"/>
  <c r="G15" i="18" s="1"/>
  <c r="H16" i="17"/>
  <c r="I16" i="17"/>
  <c r="J16" i="17"/>
  <c r="I15" i="18" a="1"/>
  <c r="I15" i="18" s="1"/>
  <c r="K16" i="17"/>
  <c r="J15" i="18" a="1"/>
  <c r="J15" i="18" s="1"/>
  <c r="H2" i="18" a="1"/>
  <c r="H2" i="18" s="1"/>
  <c r="K4" i="18" a="1"/>
  <c r="K4" i="18" s="1"/>
  <c r="L16" i="17"/>
  <c r="D5" i="18" a="1"/>
  <c r="D5" i="18" s="1"/>
  <c r="D5" i="17"/>
  <c r="G5" i="18" a="1"/>
  <c r="G5" i="18" s="1"/>
  <c r="E5" i="18" a="1"/>
  <c r="E5" i="18" s="1"/>
  <c r="C5" i="17"/>
  <c r="F5" i="18" a="1"/>
  <c r="F5" i="18" s="1"/>
  <c r="E5" i="17"/>
  <c r="F5" i="17"/>
  <c r="H5" i="18" a="1"/>
  <c r="H5" i="18" s="1"/>
  <c r="G5" i="17"/>
  <c r="H5" i="17"/>
  <c r="I5" i="18" a="1"/>
  <c r="I5" i="18" s="1"/>
  <c r="I5" i="17"/>
  <c r="J5" i="18" a="1"/>
  <c r="J5" i="18" s="1"/>
  <c r="J5" i="17"/>
  <c r="K5" i="18" a="1"/>
  <c r="K5" i="18" s="1"/>
  <c r="K5" i="17"/>
  <c r="L5" i="18" a="1"/>
  <c r="L5" i="18" s="1"/>
  <c r="J15" i="17"/>
  <c r="G17" i="18" a="1"/>
  <c r="G17" i="18" s="1"/>
  <c r="G15" i="17"/>
  <c r="E6" i="17"/>
  <c r="F6" i="18" a="1"/>
  <c r="F6" i="18" s="1"/>
  <c r="K6" i="17"/>
  <c r="L6" i="17"/>
  <c r="L6" i="18" a="1"/>
  <c r="L6" i="18" s="1"/>
  <c r="N6" i="17"/>
  <c r="N6" i="18" a="1"/>
  <c r="N6" i="18" s="1"/>
  <c r="F12" i="18" a="1"/>
  <c r="F12" i="18" s="1"/>
  <c r="H12" i="18" a="1"/>
  <c r="H12" i="18" s="1"/>
  <c r="E13" i="17"/>
  <c r="G13" i="17"/>
  <c r="L12" i="18" a="1"/>
  <c r="L12" i="18" s="1"/>
  <c r="D13" i="18" a="1"/>
  <c r="D13" i="18" s="1"/>
  <c r="D17" i="18" a="1"/>
  <c r="D17" i="18" s="1"/>
  <c r="N8" i="18" a="1"/>
  <c r="N8" i="18" s="1"/>
  <c r="I7" i="17"/>
  <c r="M12" i="18" a="1"/>
  <c r="M12" i="18" s="1"/>
  <c r="N13" i="17"/>
  <c r="F6" i="17"/>
  <c r="H3" i="18" a="1"/>
  <c r="H3" i="18" s="1"/>
  <c r="N19" i="17"/>
  <c r="N20" i="17" s="1"/>
  <c r="J7" i="18" a="1"/>
  <c r="J7" i="18" s="1"/>
  <c r="J19" i="17"/>
  <c r="J20" i="17" s="1"/>
  <c r="H13" i="17"/>
  <c r="H4" i="17"/>
  <c r="M15" i="18" a="1"/>
  <c r="M15" i="18" s="1"/>
  <c r="H11" i="18" a="1"/>
  <c r="H11" i="18" s="1"/>
  <c r="G7" i="18" a="1"/>
  <c r="G7" i="18" s="1"/>
  <c r="H19" i="17"/>
  <c r="H20" i="17" s="1"/>
  <c r="C12" i="17"/>
  <c r="J4" i="17"/>
  <c r="D10" i="18" a="1"/>
  <c r="D10" i="18" s="1"/>
  <c r="H4" i="18" a="1"/>
  <c r="H4" i="18" s="1"/>
  <c r="G19" i="17"/>
  <c r="G20" i="17" s="1"/>
  <c r="C15" i="17"/>
  <c r="K10" i="17"/>
  <c r="C4" i="17"/>
  <c r="C17" i="18" a="1"/>
  <c r="C17" i="18" s="1"/>
  <c r="E14" i="18" a="1"/>
  <c r="E14" i="18" s="1"/>
  <c r="G4" i="18" a="1"/>
  <c r="G4" i="18" s="1"/>
  <c r="F19" i="17"/>
  <c r="F20" i="17" s="1"/>
  <c r="F13" i="17"/>
  <c r="J10" i="17"/>
  <c r="N3" i="17"/>
  <c r="I10" i="17"/>
  <c r="M3" i="17"/>
  <c r="M16" i="18" a="1"/>
  <c r="M16" i="18" s="1"/>
  <c r="C14" i="18" a="1"/>
  <c r="C14" i="18" s="1"/>
  <c r="J12" i="18" a="1"/>
  <c r="J12" i="18" s="1"/>
  <c r="N9" i="18" a="1"/>
  <c r="N9" i="18" s="1"/>
  <c r="E4" i="18" a="1"/>
  <c r="E4" i="18" s="1"/>
  <c r="D19" i="17"/>
  <c r="D20" i="17" s="1"/>
  <c r="D13" i="17"/>
  <c r="H10" i="17"/>
  <c r="L3" i="17"/>
  <c r="L16" i="18" a="1"/>
  <c r="L16" i="18" s="1"/>
  <c r="I12" i="18" a="1"/>
  <c r="I12" i="18" s="1"/>
  <c r="E11" i="18" a="1"/>
  <c r="E11" i="18" s="1"/>
  <c r="M9" i="18" a="1"/>
  <c r="M9" i="18" s="1"/>
  <c r="D4" i="18" a="1"/>
  <c r="D4" i="18" s="1"/>
  <c r="C19" i="17"/>
  <c r="C20" i="17" s="1"/>
  <c r="C13" i="17"/>
  <c r="G10" i="17"/>
  <c r="K3" i="17"/>
  <c r="C4" i="18" a="1"/>
  <c r="C4" i="18" s="1"/>
  <c r="F10" i="17"/>
  <c r="J3" i="17"/>
  <c r="J16" i="18" a="1"/>
  <c r="J16" i="18" s="1"/>
  <c r="G12" i="18" a="1"/>
  <c r="G12" i="18" s="1"/>
  <c r="K9" i="18" a="1"/>
  <c r="K9" i="18" s="1"/>
  <c r="M6" i="18" a="1"/>
  <c r="M6" i="18" s="1"/>
  <c r="N3" i="18" a="1"/>
  <c r="N3" i="18" s="1"/>
  <c r="M17" i="17"/>
  <c r="M12" i="17"/>
  <c r="E10" i="17"/>
  <c r="M6" i="17"/>
  <c r="I3" i="17"/>
  <c r="M3" i="18" a="1"/>
  <c r="M3" i="18" s="1"/>
  <c r="H3" i="17"/>
  <c r="H16" i="18" a="1"/>
  <c r="H16" i="18" s="1"/>
  <c r="N10" i="18" a="1"/>
  <c r="N10" i="18" s="1"/>
  <c r="K17" i="17"/>
  <c r="C10" i="17"/>
  <c r="G3" i="17"/>
  <c r="M17" i="18" a="1"/>
  <c r="M17" i="18" s="1"/>
  <c r="G16" i="18" a="1"/>
  <c r="G16" i="18" s="1"/>
  <c r="D12" i="18" a="1"/>
  <c r="D12" i="18" s="1"/>
  <c r="M10" i="18" a="1"/>
  <c r="M10" i="18" s="1"/>
  <c r="H9" i="18" a="1"/>
  <c r="H9" i="18" s="1"/>
  <c r="K6" i="18" a="1"/>
  <c r="K6" i="18" s="1"/>
  <c r="L3" i="18" a="1"/>
  <c r="L3" i="18" s="1"/>
  <c r="J17" i="17"/>
  <c r="N15" i="17"/>
  <c r="J12" i="17"/>
  <c r="N9" i="17"/>
  <c r="J6" i="17"/>
  <c r="N4" i="17"/>
  <c r="F3" i="17"/>
  <c r="D10" i="17"/>
  <c r="L17" i="18" a="1"/>
  <c r="L17" i="18" s="1"/>
  <c r="F16" i="18" a="1"/>
  <c r="F16" i="18" s="1"/>
  <c r="N14" i="18" a="1"/>
  <c r="N14" i="18" s="1"/>
  <c r="C12" i="18" a="1"/>
  <c r="C12" i="18" s="1"/>
  <c r="L10" i="18" a="1"/>
  <c r="L10" i="18" s="1"/>
  <c r="G9" i="18" a="1"/>
  <c r="G9" i="18" s="1"/>
  <c r="J6" i="18" a="1"/>
  <c r="J6" i="18" s="1"/>
  <c r="K3" i="18" a="1"/>
  <c r="K3" i="18" s="1"/>
  <c r="I17" i="17"/>
  <c r="M15" i="17"/>
  <c r="I12" i="17"/>
  <c r="M9" i="17"/>
  <c r="I6" i="17"/>
  <c r="M4" i="17"/>
  <c r="E3" i="17"/>
  <c r="I9" i="18" a="1"/>
  <c r="I9" i="18" s="1"/>
  <c r="K17" i="18" a="1"/>
  <c r="K17" i="18" s="1"/>
  <c r="M14" i="18" a="1"/>
  <c r="M14" i="18" s="1"/>
  <c r="K10" i="18" a="1"/>
  <c r="K10" i="18" s="1"/>
  <c r="I6" i="18" a="1"/>
  <c r="I6" i="18" s="1"/>
  <c r="H17" i="17"/>
  <c r="L15" i="17"/>
  <c r="H12" i="17"/>
  <c r="L9" i="17"/>
  <c r="H6" i="17"/>
  <c r="L4" i="17"/>
  <c r="D3" i="17"/>
  <c r="E12" i="18" a="1"/>
  <c r="E12" i="18" s="1"/>
  <c r="E16" i="18" a="1"/>
  <c r="E16" i="18" s="1"/>
  <c r="L14" i="18" a="1"/>
  <c r="L14" i="18" s="1"/>
  <c r="N11" i="18" a="1"/>
  <c r="N11" i="18" s="1"/>
  <c r="J10" i="18" a="1"/>
  <c r="J10" i="18" s="1"/>
  <c r="F9" i="18" a="1"/>
  <c r="F9" i="18" s="1"/>
  <c r="H6" i="18" a="1"/>
  <c r="H6" i="18" s="1"/>
  <c r="J3" i="18" a="1"/>
  <c r="J3" i="18" s="1"/>
  <c r="G17" i="17"/>
  <c r="K15" i="17"/>
  <c r="G12" i="17"/>
  <c r="K9" i="17"/>
  <c r="G6" i="17"/>
  <c r="K4" i="17"/>
  <c r="C3" i="17"/>
  <c r="I17" i="18" a="1"/>
  <c r="I17" i="18" s="1"/>
  <c r="J14" i="18" a="1"/>
  <c r="J14" i="18" s="1"/>
  <c r="H10" i="18" a="1"/>
  <c r="H10" i="18" s="1"/>
  <c r="N4" i="18" a="1"/>
  <c r="N4" i="18" s="1"/>
  <c r="I15" i="17"/>
  <c r="M13" i="17"/>
  <c r="H17" i="18" a="1"/>
  <c r="H17" i="18" s="1"/>
  <c r="C16" i="18" a="1"/>
  <c r="C16" i="18" s="1"/>
  <c r="I14" i="18" a="1"/>
  <c r="I14" i="18" s="1"/>
  <c r="L11" i="18" a="1"/>
  <c r="L11" i="18" s="1"/>
  <c r="G10" i="18" a="1"/>
  <c r="G10" i="18" s="1"/>
  <c r="D9" i="18" a="1"/>
  <c r="D9" i="18" s="1"/>
  <c r="E6" i="18" a="1"/>
  <c r="E6" i="18" s="1"/>
  <c r="M4" i="18" a="1"/>
  <c r="M4" i="18" s="1"/>
  <c r="G3" i="18" a="1"/>
  <c r="G3" i="18" s="1"/>
  <c r="D17" i="17"/>
  <c r="D12" i="17"/>
  <c r="L10" i="16"/>
  <c r="D6" i="16"/>
  <c r="L9" i="16"/>
  <c r="L2" i="16"/>
  <c r="L5" i="16"/>
  <c r="D2" i="16"/>
  <c r="L8" i="16"/>
  <c r="B16" i="16"/>
  <c r="D7" i="16"/>
  <c r="I2" i="16"/>
  <c r="I5" i="16"/>
  <c r="L4" i="16"/>
  <c r="L7" i="16"/>
  <c r="D4" i="16"/>
  <c r="B15" i="16"/>
  <c r="L3" i="16"/>
  <c r="B14" i="16"/>
  <c r="I3" i="16"/>
  <c r="I6" i="16"/>
  <c r="D3" i="16"/>
  <c r="D5" i="16"/>
  <c r="L6" i="16"/>
  <c r="D8" i="16"/>
  <c r="I4" i="16"/>
  <c r="I7" i="16"/>
  <c r="B16" i="15"/>
  <c r="D7" i="15"/>
  <c r="B15" i="15"/>
  <c r="L3" i="15"/>
  <c r="B14" i="15"/>
  <c r="I3" i="15"/>
  <c r="I4" i="15"/>
  <c r="L6" i="15"/>
  <c r="I6" i="15"/>
  <c r="D3" i="15"/>
  <c r="I2" i="15"/>
  <c r="L5" i="15"/>
  <c r="I5" i="15"/>
  <c r="D2" i="15"/>
  <c r="L8" i="15"/>
  <c r="D8" i="15"/>
  <c r="L4" i="15"/>
  <c r="L7" i="15"/>
  <c r="L10" i="15"/>
  <c r="D6" i="15"/>
  <c r="L9" i="15"/>
  <c r="L2" i="15"/>
  <c r="D5" i="15"/>
  <c r="I7" i="15"/>
  <c r="D4" i="15"/>
  <c r="B16" i="14"/>
  <c r="B15" i="14"/>
  <c r="L3" i="14"/>
  <c r="B14" i="14"/>
  <c r="I3" i="14"/>
  <c r="I6" i="14"/>
  <c r="L10" i="14"/>
  <c r="D6" i="14"/>
  <c r="L9" i="14"/>
  <c r="L2" i="14"/>
  <c r="D5" i="14"/>
  <c r="L6" i="14"/>
  <c r="D3" i="14"/>
  <c r="D8" i="14"/>
  <c r="I2" i="14"/>
  <c r="L5" i="14"/>
  <c r="I5" i="14"/>
  <c r="D2" i="14"/>
  <c r="L8" i="14"/>
  <c r="L4" i="14"/>
  <c r="D7" i="14"/>
  <c r="I4" i="14"/>
  <c r="L7" i="14"/>
  <c r="I7" i="14"/>
  <c r="D4" i="14"/>
  <c r="L4" i="13"/>
  <c r="I4" i="13"/>
  <c r="D4" i="13"/>
  <c r="B16" i="13"/>
  <c r="D7" i="13"/>
  <c r="B15" i="13"/>
  <c r="L3" i="13"/>
  <c r="L6" i="13"/>
  <c r="I6" i="13"/>
  <c r="D3" i="13"/>
  <c r="D8" i="13"/>
  <c r="I7" i="13"/>
  <c r="B14" i="13"/>
  <c r="I3" i="13"/>
  <c r="L10" i="13"/>
  <c r="D6" i="13"/>
  <c r="L9" i="13"/>
  <c r="L2" i="13"/>
  <c r="I2" i="13"/>
  <c r="L5" i="13"/>
  <c r="I5" i="13"/>
  <c r="D2" i="13"/>
  <c r="L8" i="13"/>
  <c r="D5" i="13"/>
  <c r="L7" i="13"/>
  <c r="B16" i="12"/>
  <c r="D7" i="12"/>
  <c r="L4" i="12"/>
  <c r="B15" i="12"/>
  <c r="L3" i="12"/>
  <c r="B14" i="12"/>
  <c r="I3" i="12"/>
  <c r="L6" i="12"/>
  <c r="L9" i="12"/>
  <c r="L5" i="12"/>
  <c r="I5" i="12"/>
  <c r="D2" i="12"/>
  <c r="L8" i="12"/>
  <c r="I4" i="12"/>
  <c r="L7" i="12"/>
  <c r="I6" i="12"/>
  <c r="D3" i="12"/>
  <c r="L10" i="12"/>
  <c r="D6" i="12"/>
  <c r="L2" i="12"/>
  <c r="I2" i="12"/>
  <c r="D5" i="12"/>
  <c r="D8" i="12"/>
  <c r="I7" i="12"/>
  <c r="D4" i="12"/>
  <c r="B15" i="11"/>
  <c r="B16" i="11"/>
  <c r="I2" i="11"/>
  <c r="L7" i="11"/>
  <c r="D2" i="11"/>
  <c r="L10" i="11"/>
  <c r="L9" i="11"/>
  <c r="D8" i="11"/>
  <c r="I7" i="11"/>
  <c r="L8" i="11"/>
  <c r="D7" i="11"/>
  <c r="I6" i="11"/>
  <c r="D6" i="11"/>
  <c r="L5" i="11"/>
  <c r="I5" i="11"/>
  <c r="D5" i="11"/>
  <c r="L4" i="11"/>
  <c r="I4" i="11"/>
  <c r="D4" i="11"/>
  <c r="D3" i="11"/>
  <c r="L2" i="11"/>
  <c r="L6" i="11"/>
  <c r="I3" i="11"/>
  <c r="B14" i="11"/>
  <c r="L3" i="11"/>
  <c r="D8" i="10"/>
  <c r="L4" i="10"/>
  <c r="I4" i="10"/>
  <c r="B16" i="10"/>
  <c r="D7" i="10"/>
  <c r="L6" i="10"/>
  <c r="B15" i="10"/>
  <c r="L3" i="10"/>
  <c r="I7" i="10"/>
  <c r="B14" i="10"/>
  <c r="I3" i="10"/>
  <c r="D5" i="10"/>
  <c r="D4" i="10"/>
  <c r="I6" i="10"/>
  <c r="D3" i="10"/>
  <c r="L10" i="10"/>
  <c r="D6" i="10"/>
  <c r="L9" i="10"/>
  <c r="L2" i="10"/>
  <c r="I2" i="10"/>
  <c r="L5" i="10"/>
  <c r="I5" i="10"/>
  <c r="D2" i="10"/>
  <c r="L8" i="10"/>
  <c r="L7" i="10"/>
  <c r="D6" i="9"/>
  <c r="L4" i="9"/>
  <c r="I4" i="9"/>
  <c r="B16" i="9"/>
  <c r="D7" i="9"/>
  <c r="B15" i="9"/>
  <c r="L3" i="9"/>
  <c r="L10" i="9"/>
  <c r="L7" i="9"/>
  <c r="B14" i="9"/>
  <c r="I3" i="9"/>
  <c r="L6" i="9"/>
  <c r="I6" i="9"/>
  <c r="D3" i="9"/>
  <c r="D8" i="9"/>
  <c r="I7" i="9"/>
  <c r="D4" i="9"/>
  <c r="L9" i="9"/>
  <c r="L2" i="9"/>
  <c r="I2" i="9"/>
  <c r="L5" i="9"/>
  <c r="I5" i="9"/>
  <c r="D2" i="9"/>
  <c r="L8" i="9"/>
  <c r="D5" i="9"/>
  <c r="D4" i="8"/>
  <c r="B16" i="8"/>
  <c r="D7" i="8"/>
  <c r="L10" i="8"/>
  <c r="B15" i="8"/>
  <c r="L3" i="8"/>
  <c r="D6" i="8"/>
  <c r="I7" i="8"/>
  <c r="B14" i="8"/>
  <c r="I3" i="8"/>
  <c r="L6" i="8"/>
  <c r="I6" i="8"/>
  <c r="D3" i="8"/>
  <c r="L9" i="8"/>
  <c r="L2" i="8"/>
  <c r="I2" i="8"/>
  <c r="L5" i="8"/>
  <c r="I5" i="8"/>
  <c r="D2" i="8"/>
  <c r="L8" i="8"/>
  <c r="D5" i="8"/>
  <c r="D8" i="8"/>
  <c r="I4" i="8"/>
  <c r="L7" i="8"/>
  <c r="L4" i="8"/>
  <c r="B16" i="7"/>
  <c r="D7" i="7"/>
  <c r="B15" i="7"/>
  <c r="L3" i="7"/>
  <c r="L10" i="7"/>
  <c r="L9" i="7"/>
  <c r="L2" i="7"/>
  <c r="L5" i="7"/>
  <c r="L8" i="7"/>
  <c r="D5" i="7"/>
  <c r="D8" i="7"/>
  <c r="D2" i="7"/>
  <c r="I4" i="7"/>
  <c r="B14" i="7"/>
  <c r="I3" i="7"/>
  <c r="L6" i="7"/>
  <c r="I6" i="7"/>
  <c r="D3" i="7"/>
  <c r="D6" i="7"/>
  <c r="I2" i="7"/>
  <c r="I5" i="7"/>
  <c r="L4" i="7"/>
  <c r="L7" i="7"/>
  <c r="I7" i="7"/>
  <c r="D4" i="7"/>
  <c r="L6" i="5"/>
  <c r="B16" i="5"/>
  <c r="I6" i="5"/>
  <c r="L4" i="5"/>
  <c r="L3" i="5"/>
  <c r="I3" i="5"/>
  <c r="D3" i="5"/>
  <c r="L2" i="5"/>
  <c r="B15" i="5"/>
  <c r="L10" i="5"/>
  <c r="L9" i="5"/>
  <c r="L7" i="5"/>
  <c r="I7" i="5"/>
  <c r="D7" i="5"/>
  <c r="B14" i="5"/>
  <c r="D6" i="5"/>
  <c r="L5" i="5"/>
  <c r="I5" i="5"/>
  <c r="D5" i="5"/>
  <c r="I4" i="5"/>
  <c r="D4" i="5"/>
  <c r="L8" i="5"/>
  <c r="D8" i="5"/>
  <c r="I2" i="5"/>
  <c r="D2" i="5"/>
  <c r="B15" i="4"/>
  <c r="B16" i="4"/>
  <c r="B14" i="4"/>
  <c r="L10" i="4"/>
  <c r="L9" i="4"/>
  <c r="L8" i="4"/>
  <c r="L6" i="4"/>
  <c r="L5" i="4"/>
  <c r="L4" i="4"/>
  <c r="L3" i="4"/>
  <c r="L2" i="4"/>
  <c r="L7" i="4"/>
  <c r="I2" i="4"/>
  <c r="I7" i="4"/>
  <c r="I5" i="4"/>
  <c r="I4" i="4"/>
  <c r="I3" i="4"/>
  <c r="D2" i="4"/>
  <c r="E2" i="4" s="1"/>
  <c r="D3" i="4"/>
  <c r="E3" i="4" s="1"/>
  <c r="D5" i="4"/>
  <c r="E5" i="4" s="1"/>
  <c r="D8" i="4"/>
  <c r="E8" i="4" s="1"/>
  <c r="D4" i="4"/>
  <c r="E4" i="4" s="1"/>
  <c r="D7" i="4"/>
  <c r="E7" i="4" s="1"/>
  <c r="D6" i="4"/>
  <c r="E6" i="4" s="1"/>
  <c r="C3" i="5" a="1"/>
  <c r="C7" i="5" a="1"/>
  <c r="C6" i="5" a="1"/>
  <c r="C2" i="5" a="1"/>
  <c r="C8" i="5" a="1"/>
  <c r="C4" i="5" a="1"/>
  <c r="C5" i="5" a="1"/>
  <c r="M18" i="17" l="1"/>
  <c r="O2" i="18"/>
  <c r="F18" i="17"/>
  <c r="J11" i="17"/>
  <c r="O9" i="17"/>
  <c r="C18" i="17"/>
  <c r="O11" i="18"/>
  <c r="O3" i="17"/>
  <c r="I18" i="17"/>
  <c r="O6" i="17"/>
  <c r="O16" i="18"/>
  <c r="O3" i="18"/>
  <c r="O2" i="17"/>
  <c r="O17" i="18"/>
  <c r="I18" i="18"/>
  <c r="D11" i="17"/>
  <c r="E11" i="17"/>
  <c r="O15" i="17"/>
  <c r="O9" i="18"/>
  <c r="O10" i="17"/>
  <c r="O14" i="18"/>
  <c r="O15" i="18"/>
  <c r="C11" i="17"/>
  <c r="C21" i="17" s="1"/>
  <c r="N18" i="18"/>
  <c r="L18" i="18"/>
  <c r="O13" i="17"/>
  <c r="H18" i="17"/>
  <c r="O5" i="18"/>
  <c r="K18" i="18"/>
  <c r="I11" i="17"/>
  <c r="I21" i="17" s="1"/>
  <c r="O7" i="18"/>
  <c r="O6" i="18"/>
  <c r="O8" i="17"/>
  <c r="O13" i="18"/>
  <c r="K18" i="17"/>
  <c r="G18" i="18"/>
  <c r="O14" i="17"/>
  <c r="F11" i="17"/>
  <c r="O10" i="18"/>
  <c r="N11" i="17"/>
  <c r="O4" i="17"/>
  <c r="M11" i="17"/>
  <c r="M21" i="17" s="1"/>
  <c r="K11" i="17"/>
  <c r="O16" i="17"/>
  <c r="J18" i="18"/>
  <c r="O4" i="18"/>
  <c r="E18" i="17"/>
  <c r="N18" i="17"/>
  <c r="M18" i="18"/>
  <c r="D18" i="17"/>
  <c r="O17" i="17"/>
  <c r="L11" i="17"/>
  <c r="O7" i="17"/>
  <c r="O12" i="18"/>
  <c r="L18" i="17"/>
  <c r="D18" i="18"/>
  <c r="H18" i="18"/>
  <c r="O5" i="17"/>
  <c r="J18" i="17"/>
  <c r="J21" i="17" s="1"/>
  <c r="G18" i="17"/>
  <c r="H11" i="17"/>
  <c r="H21" i="17" s="1"/>
  <c r="O8" i="18"/>
  <c r="O12" i="17"/>
  <c r="E18" i="18"/>
  <c r="C18" i="18"/>
  <c r="G11" i="17"/>
  <c r="F18" i="18"/>
  <c r="O19" i="17"/>
  <c r="O20" i="17" s="1"/>
  <c r="D9" i="16"/>
  <c r="I8" i="16"/>
  <c r="B17" i="16"/>
  <c r="L11" i="16"/>
  <c r="B17" i="15"/>
  <c r="I8" i="15"/>
  <c r="L11" i="15"/>
  <c r="D9" i="15"/>
  <c r="I8" i="14"/>
  <c r="B17" i="14"/>
  <c r="L11" i="14"/>
  <c r="D9" i="14"/>
  <c r="B17" i="13"/>
  <c r="I8" i="13"/>
  <c r="D9" i="13"/>
  <c r="L11" i="13"/>
  <c r="B17" i="12"/>
  <c r="I8" i="12"/>
  <c r="L11" i="12"/>
  <c r="D9" i="12"/>
  <c r="L11" i="11"/>
  <c r="B17" i="11"/>
  <c r="I8" i="11"/>
  <c r="D9" i="11"/>
  <c r="B17" i="10"/>
  <c r="D9" i="10"/>
  <c r="I8" i="10"/>
  <c r="B17" i="9"/>
  <c r="L11" i="10"/>
  <c r="I8" i="9"/>
  <c r="D9" i="9"/>
  <c r="L11" i="9"/>
  <c r="B17" i="8"/>
  <c r="L11" i="8"/>
  <c r="B17" i="7"/>
  <c r="D9" i="8"/>
  <c r="I8" i="8"/>
  <c r="D9" i="7"/>
  <c r="L11" i="7"/>
  <c r="I8" i="7"/>
  <c r="B17" i="5"/>
  <c r="C3" i="5"/>
  <c r="E3" i="5" s="1"/>
  <c r="C4" i="5"/>
  <c r="E4" i="5" s="1"/>
  <c r="C6" i="5"/>
  <c r="E6" i="5" s="1"/>
  <c r="C5" i="5"/>
  <c r="E5" i="5" s="1"/>
  <c r="C7" i="5"/>
  <c r="E7" i="5" s="1"/>
  <c r="C8" i="5"/>
  <c r="E8" i="5" s="1"/>
  <c r="C2" i="5"/>
  <c r="E2" i="5" s="1"/>
  <c r="L11" i="5"/>
  <c r="D9" i="5"/>
  <c r="I8" i="5"/>
  <c r="B17" i="4"/>
  <c r="L11" i="4"/>
  <c r="I8" i="4"/>
  <c r="E9" i="4"/>
  <c r="D9" i="4"/>
  <c r="C2" i="7" a="1"/>
  <c r="C6" i="7" a="1"/>
  <c r="C3" i="7" a="1"/>
  <c r="C8" i="7" a="1"/>
  <c r="C4" i="7" a="1"/>
  <c r="C5" i="7" a="1"/>
  <c r="C7" i="7" a="1"/>
  <c r="E21" i="17" l="1"/>
  <c r="D21" i="17"/>
  <c r="K21" i="17"/>
  <c r="L21" i="17"/>
  <c r="F21" i="17"/>
  <c r="O18" i="18"/>
  <c r="O11" i="17"/>
  <c r="N21" i="17"/>
  <c r="O18" i="17"/>
  <c r="G21" i="17"/>
  <c r="C2" i="7"/>
  <c r="E2" i="7" s="1"/>
  <c r="C8" i="7"/>
  <c r="E8" i="7" s="1"/>
  <c r="C5" i="7"/>
  <c r="E5" i="7" s="1"/>
  <c r="C7" i="7"/>
  <c r="E7" i="7" s="1"/>
  <c r="C6" i="7"/>
  <c r="E6" i="7" s="1"/>
  <c r="C4" i="7"/>
  <c r="E4" i="7" s="1"/>
  <c r="C3" i="7"/>
  <c r="E3" i="7" s="1"/>
  <c r="E9" i="5"/>
  <c r="C9" i="5"/>
  <c r="C6" i="8" a="1"/>
  <c r="C4" i="8" a="1"/>
  <c r="C2" i="8" a="1"/>
  <c r="C7" i="8" a="1"/>
  <c r="C5" i="8" a="1"/>
  <c r="C3" i="8" a="1"/>
  <c r="C8" i="8" a="1"/>
  <c r="O21" i="17" l="1"/>
  <c r="C4" i="8"/>
  <c r="E4" i="8" s="1"/>
  <c r="C6" i="8"/>
  <c r="E6" i="8" s="1"/>
  <c r="C7" i="8"/>
  <c r="E7" i="8" s="1"/>
  <c r="C5" i="8"/>
  <c r="E5" i="8" s="1"/>
  <c r="C8" i="8"/>
  <c r="E8" i="8" s="1"/>
  <c r="C2" i="8"/>
  <c r="C3" i="8"/>
  <c r="E3" i="8" s="1"/>
  <c r="E9" i="7"/>
  <c r="C9" i="7"/>
  <c r="C6" i="9" a="1"/>
  <c r="C4" i="9" a="1"/>
  <c r="C7" i="9" a="1"/>
  <c r="C3" i="9" a="1"/>
  <c r="C8" i="9" a="1"/>
  <c r="C5" i="9" a="1"/>
  <c r="C8" i="9" l="1"/>
  <c r="E8" i="9" s="1"/>
  <c r="C5" i="9"/>
  <c r="E5" i="9" s="1"/>
  <c r="C3" i="9"/>
  <c r="E3" i="9" s="1"/>
  <c r="C7" i="9"/>
  <c r="E7" i="9" s="1"/>
  <c r="C6" i="9"/>
  <c r="E6" i="9" s="1"/>
  <c r="C4" i="9"/>
  <c r="E4" i="9" s="1"/>
  <c r="E2" i="8"/>
  <c r="C9" i="8"/>
  <c r="C6" i="10" a="1"/>
  <c r="C2" i="9" a="1"/>
  <c r="C8" i="10" a="1"/>
  <c r="C5" i="10" a="1"/>
  <c r="C7" i="10" a="1"/>
  <c r="C4" i="10" a="1"/>
  <c r="C3" i="10" a="1"/>
  <c r="C4" i="10" l="1"/>
  <c r="E4" i="10" s="1"/>
  <c r="C6" i="10"/>
  <c r="E6" i="10" s="1"/>
  <c r="C7" i="10"/>
  <c r="E7" i="10" s="1"/>
  <c r="C3" i="10"/>
  <c r="E3" i="10" s="1"/>
  <c r="C5" i="10"/>
  <c r="E5" i="10" s="1"/>
  <c r="C8" i="10"/>
  <c r="E8" i="10" s="1"/>
  <c r="C2" i="9"/>
  <c r="E9" i="8"/>
  <c r="C4" i="11" a="1"/>
  <c r="C7" i="11" a="1"/>
  <c r="C5" i="11" a="1"/>
  <c r="C8" i="11" a="1"/>
  <c r="C6" i="11" a="1"/>
  <c r="C3" i="11" a="1"/>
  <c r="C5" i="11" l="1"/>
  <c r="E5" i="11" s="1"/>
  <c r="C8" i="11"/>
  <c r="E8" i="11" s="1"/>
  <c r="C3" i="11"/>
  <c r="E3" i="11" s="1"/>
  <c r="C7" i="11"/>
  <c r="E7" i="11" s="1"/>
  <c r="C6" i="11"/>
  <c r="E6" i="11" s="1"/>
  <c r="C4" i="11"/>
  <c r="E4" i="11" s="1"/>
  <c r="E2" i="9"/>
  <c r="C9" i="9"/>
  <c r="C6" i="12" a="1"/>
  <c r="C3" i="12" a="1"/>
  <c r="C7" i="12" a="1"/>
  <c r="C4" i="12" a="1"/>
  <c r="C2" i="10" a="1"/>
  <c r="C8" i="12" a="1"/>
  <c r="C5" i="12" a="1"/>
  <c r="C8" i="12" l="1"/>
  <c r="E8" i="12" s="1"/>
  <c r="C7" i="12"/>
  <c r="E7" i="12" s="1"/>
  <c r="C5" i="12"/>
  <c r="E5" i="12" s="1"/>
  <c r="C3" i="12"/>
  <c r="E3" i="12" s="1"/>
  <c r="C4" i="12"/>
  <c r="E4" i="12" s="1"/>
  <c r="C6" i="12"/>
  <c r="E6" i="12" s="1"/>
  <c r="C2" i="10"/>
  <c r="E9" i="9"/>
  <c r="C7" i="13" a="1"/>
  <c r="C4" i="13" a="1"/>
  <c r="C6" i="13" a="1"/>
  <c r="C8" i="13" a="1"/>
  <c r="C5" i="13" a="1"/>
  <c r="C3" i="13" a="1"/>
  <c r="C8" i="13" l="1"/>
  <c r="E8" i="13" s="1"/>
  <c r="C6" i="13"/>
  <c r="E6" i="13" s="1"/>
  <c r="C4" i="13"/>
  <c r="E4" i="13" s="1"/>
  <c r="C3" i="13"/>
  <c r="E3" i="13" s="1"/>
  <c r="C5" i="13"/>
  <c r="E5" i="13" s="1"/>
  <c r="C7" i="13"/>
  <c r="E7" i="13" s="1"/>
  <c r="C9" i="10"/>
  <c r="E2" i="10"/>
  <c r="C4" i="14" a="1"/>
  <c r="C3" i="14" a="1"/>
  <c r="C5" i="14" a="1"/>
  <c r="C6" i="14" a="1"/>
  <c r="C2" i="11" a="1"/>
  <c r="C7" i="14" a="1"/>
  <c r="C8" i="14" a="1"/>
  <c r="C7" i="14" l="1"/>
  <c r="E7" i="14" s="1"/>
  <c r="C5" i="14"/>
  <c r="E5" i="14" s="1"/>
  <c r="C3" i="14"/>
  <c r="E3" i="14" s="1"/>
  <c r="C4" i="14"/>
  <c r="E4" i="14" s="1"/>
  <c r="C6" i="14"/>
  <c r="E6" i="14" s="1"/>
  <c r="C8" i="14"/>
  <c r="E8" i="14" s="1"/>
  <c r="C2" i="11"/>
  <c r="E9" i="10"/>
  <c r="C3" i="15" a="1"/>
  <c r="C6" i="15" a="1"/>
  <c r="C4" i="15" a="1"/>
  <c r="C8" i="15" a="1"/>
  <c r="C5" i="15" a="1"/>
  <c r="C7" i="15" a="1"/>
  <c r="C3" i="15" l="1"/>
  <c r="E3" i="15" s="1"/>
  <c r="C5" i="15"/>
  <c r="E5" i="15" s="1"/>
  <c r="C7" i="15"/>
  <c r="E7" i="15" s="1"/>
  <c r="C8" i="15"/>
  <c r="E8" i="15" s="1"/>
  <c r="C6" i="15"/>
  <c r="E6" i="15" s="1"/>
  <c r="C4" i="15"/>
  <c r="E4" i="15" s="1"/>
  <c r="E2" i="11"/>
  <c r="C9" i="11"/>
  <c r="C5" i="16" a="1"/>
  <c r="C4" i="16" a="1"/>
  <c r="C7" i="16" a="1"/>
  <c r="C8" i="16" a="1"/>
  <c r="C2" i="12" a="1"/>
  <c r="C6" i="16" a="1"/>
  <c r="C3" i="16" a="1"/>
  <c r="C8" i="16" l="1"/>
  <c r="E8" i="16" s="1"/>
  <c r="C4" i="16"/>
  <c r="E4" i="16" s="1"/>
  <c r="C6" i="16"/>
  <c r="E6" i="16" s="1"/>
  <c r="C7" i="16"/>
  <c r="E7" i="16" s="1"/>
  <c r="C5" i="16"/>
  <c r="E5" i="16" s="1"/>
  <c r="C3" i="16"/>
  <c r="E3" i="16" s="1"/>
  <c r="C2" i="12"/>
  <c r="E9" i="11"/>
  <c r="C9" i="12" l="1"/>
  <c r="E2" i="12"/>
  <c r="C2" i="13" a="1"/>
  <c r="C2" i="13" l="1"/>
  <c r="E9" i="12"/>
  <c r="E2" i="13" l="1"/>
  <c r="C9" i="13"/>
  <c r="C2" i="14" a="1"/>
  <c r="C2" i="14" l="1"/>
  <c r="E9" i="13"/>
  <c r="E2" i="14" l="1"/>
  <c r="C9" i="14"/>
  <c r="C2" i="15" a="1"/>
  <c r="C2" i="15" l="1"/>
  <c r="E9" i="14"/>
  <c r="E2" i="15" l="1"/>
  <c r="C9" i="15"/>
  <c r="C2" i="16" a="1"/>
  <c r="C2" i="16" l="1"/>
  <c r="E9" i="15"/>
  <c r="E2" i="16" l="1"/>
  <c r="E9" i="16" s="1"/>
  <c r="C9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F5692-4DDF-4F57-8B02-B3CA2C0C17C8}" keepAlive="1" name="Query - Finanse-1(1)" description="Connection to the 'Finanse-1(1)' query in the workbook." type="5" refreshedVersion="8" background="1" saveData="1">
    <dbPr connection="Provider=Microsoft.Mashup.OleDb.1;Data Source=$Workbook$;Location=Finanse-1(1);Extended Properties=&quot;&quot;" command="SELECT * FROM [Finanse-1(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<sst xmlns="http://schemas.openxmlformats.org/spreadsheetml/2006/main" count="1387" uniqueCount="58">
  <si>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</si>
  <si>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</si>
  <si>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</si>
  <si>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</si>
  <si>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</si>
  <si>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</si>
  <si>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</si>
  <si>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</si>
  <si>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</si>
  <si>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</si>
  <si>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</si>
  <si>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</si>
  <si>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</si>
  <si>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</si>
  <si>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</si>
  <si>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</si>
  <si>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</si>
  <si>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</si>
  <si>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</si>
  <si>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</si>
  <si>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</si>
  <si>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</si>
  <si>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</si>
  <si>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</si>
  <si>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</si>
  <si>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</si>
  <si>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</si>
  <si>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</si>
  <si>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</si>
  <si>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</si>
  <si>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</si>
  <si>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</si>
  <si>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Expence</t>
  </si>
  <si>
    <t>Income</t>
  </si>
  <si>
    <t>Operations</t>
  </si>
  <si>
    <t>Closing balance</t>
  </si>
  <si>
    <t>Total</t>
  </si>
  <si>
    <t>Opening balance</t>
  </si>
  <si>
    <t>Other income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</si>
  <si>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</si>
  <si>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</si>
  <si>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</si>
  <si>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</si>
  <si>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</si>
  <si>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</si>
  <si>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</si>
  <si>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</si>
  <si>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</si>
  <si>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</si>
  <si>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</si>
  <si>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</si>
  <si>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Expence Total</t>
  </si>
  <si>
    <t>Income Total</t>
  </si>
  <si>
    <t>Transfer Total</t>
  </si>
  <si>
    <t>Grand Total</t>
  </si>
  <si>
    <t>Row Labels</t>
  </si>
  <si>
    <t>Sum of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</si>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</sst>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;[Red]\-#,##0.00\ &quot;zł&quot;"/>
    <numFmt numFmtId="164" formatCode="_-* #,##0.00\ [$zł-415]_-;\-* #,##0.00\ [$zł-415]_-;_-* &quot;-&quot;??\ [$zł-415]_-;_-@_-"/>
  </numFmts>
  <fonts count="9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6" borderId="2" xfId="0" applyFill="1" applyBorder="1"/>
    <xf numFmtId="164" fontId="0" fillId="0" borderId="0" xfId="0" applyNumberFormat="1"/>
    <xf numFmtId="0" fontId="0" fillId="0" borderId="2" xfId="0" applyBorder="1" applyAlignment="1">
      <alignment horizontal="right"/>
    </xf>
    <xf numFmtId="0" fontId="4" fillId="4" borderId="0" xfId="2"/>
    <xf numFmtId="0" fontId="3" fillId="3" borderId="0" xfId="1"/>
    <xf numFmtId="0" fontId="5" fillId="5" borderId="0" xfId="3"/>
    <xf numFmtId="0" fontId="0" fillId="7" borderId="0" xfId="0" applyFill="1"/>
    <xf numFmtId="0" fontId="7" fillId="8" borderId="0" xfId="0" applyFont="1" applyFill="1"/>
    <xf numFmtId="164" fontId="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8" fontId="0" fillId="0" borderId="0" xfId="0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02"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0" formatCode="General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numFmt numFmtId="164" formatCode="_-* #,##0.00\ [$zł-415]_-;\-* #,##0.00\ [$zł-415]_-;_-* &quot;-&quot;??\ [$zł-415]_-;_-@_-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jciech Miernik" refreshedDate="46000.61448009259" createdVersion="8" refreshedVersion="8" minRefreshableVersion="3" recordCount="207" xr:uid="{CD85DD7A-39CA-467F-830D-42628F08BFDC}">
  <cacheSource type="worksheet">
    <worksheetSource name="Operations"/>
  </cacheSource>
  <cacheFields count="7">
    <cacheField name="Amount" numFmtId="8">
      <sharedItems containsSemiMixedTypes="0" containsString="0" containsNumber="1" minValue="-2000" maxValue="4500"/>
    </cacheField>
    <cacheField name="Bank" numFmtId="0">
      <sharedItems/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ce"/>
        <s v="Income"/>
        <s v="Transfer"/>
      </sharedItems>
    </cacheField>
    <cacheField name="Date" numFmtId="14">
      <sharedItems containsSemiMixedTypes="0" containsNonDate="0" containsDate="1" containsString="0" minDate="2024-01-05T00:00:00" maxDate="2024-12-3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s v="Santander"/>
    <s v="Account"/>
    <x v="0"/>
    <x v="0"/>
    <d v="2024-01-05T00:00:00"/>
    <x v="0"/>
  </r>
  <r>
    <n v="4500"/>
    <s v="Santander"/>
    <s v="Account"/>
    <x v="1"/>
    <x v="1"/>
    <d v="2024-01-10T00:00:00"/>
    <x v="0"/>
  </r>
  <r>
    <n v="-2000"/>
    <s v="Santander"/>
    <s v="Account"/>
    <x v="2"/>
    <x v="0"/>
    <d v="2024-01-11T00:00:00"/>
    <x v="0"/>
  </r>
  <r>
    <n v="-45"/>
    <s v="Millennium"/>
    <s v="Account"/>
    <x v="0"/>
    <x v="0"/>
    <d v="2024-01-14T00:00:00"/>
    <x v="0"/>
  </r>
  <r>
    <n v="-150"/>
    <s v="Santander"/>
    <s v="Credit card"/>
    <x v="3"/>
    <x v="0"/>
    <d v="2024-01-15T00:00:00"/>
    <x v="0"/>
  </r>
  <r>
    <n v="-120"/>
    <s v="Santander"/>
    <s v="Account"/>
    <x v="0"/>
    <x v="0"/>
    <d v="2024-01-16T00:00:00"/>
    <x v="0"/>
  </r>
  <r>
    <n v="500"/>
    <s v="Santander"/>
    <s v="Account"/>
    <x v="4"/>
    <x v="1"/>
    <d v="2024-01-17T00:00:00"/>
    <x v="0"/>
  </r>
  <r>
    <n v="-500"/>
    <s v="Santander"/>
    <s v="Fixed-term deposit"/>
    <x v="5"/>
    <x v="0"/>
    <d v="2024-01-17T00:00:00"/>
    <x v="0"/>
  </r>
  <r>
    <n v="250"/>
    <s v="Millennium"/>
    <s v="Savings account"/>
    <x v="6"/>
    <x v="1"/>
    <d v="2024-01-17T00:00:00"/>
    <x v="0"/>
  </r>
  <r>
    <n v="-25"/>
    <s v="Santander"/>
    <s v="Credit card"/>
    <x v="7"/>
    <x v="0"/>
    <d v="2024-01-19T00:00:00"/>
    <x v="0"/>
  </r>
  <r>
    <n v="-80"/>
    <s v="Santander"/>
    <s v="Account"/>
    <x v="8"/>
    <x v="0"/>
    <d v="2024-01-20T00:00:00"/>
    <x v="0"/>
  </r>
  <r>
    <n v="150"/>
    <s v="Millennium"/>
    <s v="Account"/>
    <x v="4"/>
    <x v="1"/>
    <d v="2024-01-21T00:00:00"/>
    <x v="0"/>
  </r>
  <r>
    <n v="-80"/>
    <s v="Millennium"/>
    <s v="Account"/>
    <x v="9"/>
    <x v="0"/>
    <d v="2024-01-22T00:00:00"/>
    <x v="0"/>
  </r>
  <r>
    <n v="-60"/>
    <s v="Millennium"/>
    <s v="Account"/>
    <x v="7"/>
    <x v="0"/>
    <d v="2024-01-23T00:00:00"/>
    <x v="0"/>
  </r>
  <r>
    <n v="-100"/>
    <s v="Santander"/>
    <s v="Account"/>
    <x v="10"/>
    <x v="0"/>
    <d v="2024-01-24T00:00:00"/>
    <x v="0"/>
  </r>
  <r>
    <n v="-50"/>
    <s v="Wallet"/>
    <s v="Gift card"/>
    <x v="0"/>
    <x v="0"/>
    <d v="2024-01-25T00:00:00"/>
    <x v="0"/>
  </r>
  <r>
    <n v="150"/>
    <s v="Wallet"/>
    <s v="Money"/>
    <x v="4"/>
    <x v="1"/>
    <d v="2024-01-25T00:00:00"/>
    <x v="0"/>
  </r>
  <r>
    <n v="5.5"/>
    <s v="Millennium"/>
    <s v="Savings account"/>
    <x v="11"/>
    <x v="1"/>
    <d v="2024-01-26T00:00:00"/>
    <x v="0"/>
  </r>
  <r>
    <n v="100"/>
    <s v="Santander"/>
    <s v="Fixed-term deposit"/>
    <x v="11"/>
    <x v="1"/>
    <d v="2024-01-27T00:00:00"/>
    <x v="0"/>
  </r>
  <r>
    <n v="-100"/>
    <s v="Santander"/>
    <s v="Account"/>
    <x v="12"/>
    <x v="0"/>
    <d v="2024-01-28T00:00:00"/>
    <x v="0"/>
  </r>
  <r>
    <n v="200"/>
    <s v="Millennium"/>
    <s v="Account"/>
    <x v="4"/>
    <x v="1"/>
    <d v="2024-02-02T00:00:00"/>
    <x v="1"/>
  </r>
  <r>
    <n v="-15"/>
    <s v="Millennium"/>
    <s v="Account"/>
    <x v="5"/>
    <x v="0"/>
    <d v="2024-02-04T00:00:00"/>
    <x v="1"/>
  </r>
  <r>
    <n v="-5.5"/>
    <s v="Santander"/>
    <s v="Account"/>
    <x v="0"/>
    <x v="0"/>
    <d v="2024-02-06T00:00:00"/>
    <x v="1"/>
  </r>
  <r>
    <n v="4500"/>
    <s v="Santander"/>
    <s v="Account"/>
    <x v="1"/>
    <x v="1"/>
    <d v="2024-02-10T00:00:00"/>
    <x v="1"/>
  </r>
  <r>
    <n v="-2000"/>
    <s v="Santander"/>
    <s v="Account"/>
    <x v="2"/>
    <x v="0"/>
    <d v="2024-02-11T00:00:00"/>
    <x v="1"/>
  </r>
  <r>
    <n v="-150"/>
    <s v="Santander"/>
    <s v="Account"/>
    <x v="7"/>
    <x v="0"/>
    <d v="2024-02-13T00:00:00"/>
    <x v="1"/>
  </r>
  <r>
    <n v="500"/>
    <s v="Santander"/>
    <s v="Account"/>
    <x v="4"/>
    <x v="1"/>
    <d v="2024-02-14T00:00:00"/>
    <x v="1"/>
  </r>
  <r>
    <n v="-300"/>
    <s v="Santander"/>
    <s v="Account"/>
    <x v="0"/>
    <x v="0"/>
    <d v="2024-02-14T00:00:00"/>
    <x v="1"/>
  </r>
  <r>
    <n v="-500"/>
    <s v="Santander"/>
    <s v="Fixed-term deposit"/>
    <x v="5"/>
    <x v="0"/>
    <d v="2024-02-14T00:00:00"/>
    <x v="1"/>
  </r>
  <r>
    <n v="-200"/>
    <s v="Wallet"/>
    <s v="Money"/>
    <x v="5"/>
    <x v="0"/>
    <d v="2024-02-14T00:00:00"/>
    <x v="1"/>
  </r>
  <r>
    <n v="175"/>
    <s v="Santander"/>
    <s v="Credit card"/>
    <x v="13"/>
    <x v="2"/>
    <d v="2024-02-15T00:00:00"/>
    <x v="1"/>
  </r>
  <r>
    <n v="-175"/>
    <s v="Santander"/>
    <s v="Account"/>
    <x v="13"/>
    <x v="2"/>
    <d v="2024-02-15T00:00:00"/>
    <x v="1"/>
  </r>
  <r>
    <n v="-100"/>
    <s v="Santander"/>
    <s v="Account"/>
    <x v="10"/>
    <x v="0"/>
    <d v="2024-02-17T00:00:00"/>
    <x v="1"/>
  </r>
  <r>
    <n v="-80"/>
    <s v="Santander"/>
    <s v="Account"/>
    <x v="8"/>
    <x v="0"/>
    <d v="2024-02-20T00:00:00"/>
    <x v="1"/>
  </r>
  <r>
    <n v="150"/>
    <s v="Wallet"/>
    <s v="Money"/>
    <x v="4"/>
    <x v="1"/>
    <d v="2024-02-22T00:00:00"/>
    <x v="1"/>
  </r>
  <r>
    <n v="100"/>
    <s v="Wallet"/>
    <s v="Gift card"/>
    <x v="4"/>
    <x v="1"/>
    <d v="2024-02-23T00:00:00"/>
    <x v="1"/>
  </r>
  <r>
    <n v="-200"/>
    <s v="Wallet"/>
    <s v="Money"/>
    <x v="7"/>
    <x v="0"/>
    <d v="2024-02-24T00:00:00"/>
    <x v="1"/>
  </r>
  <r>
    <n v="1000"/>
    <s v="Wallet"/>
    <s v="Money"/>
    <x v="4"/>
    <x v="1"/>
    <d v="2024-02-25T00:00:00"/>
    <x v="1"/>
  </r>
  <r>
    <n v="-250"/>
    <s v="Wallet"/>
    <s v="Money"/>
    <x v="12"/>
    <x v="0"/>
    <d v="2024-02-25T00:00:00"/>
    <x v="1"/>
  </r>
  <r>
    <n v="-100"/>
    <s v="Millennium"/>
    <s v="Account"/>
    <x v="0"/>
    <x v="0"/>
    <d v="2024-02-26T00:00:00"/>
    <x v="1"/>
  </r>
  <r>
    <n v="-50"/>
    <s v="Millennium"/>
    <s v="Account"/>
    <x v="5"/>
    <x v="0"/>
    <d v="2024-02-26T00:00:00"/>
    <x v="1"/>
  </r>
  <r>
    <n v="15"/>
    <s v="Millennium"/>
    <s v="Savings account"/>
    <x v="11"/>
    <x v="1"/>
    <d v="2024-02-27T00:00:00"/>
    <x v="1"/>
  </r>
  <r>
    <n v="-150"/>
    <s v="Santander"/>
    <s v="Account"/>
    <x v="3"/>
    <x v="0"/>
    <d v="2024-02-28T00:00:00"/>
    <x v="1"/>
  </r>
  <r>
    <n v="100"/>
    <s v="Santander"/>
    <s v="Fixed-term deposit"/>
    <x v="11"/>
    <x v="1"/>
    <d v="2024-02-28T00:00:00"/>
    <x v="1"/>
  </r>
  <r>
    <n v="-25"/>
    <s v="Santander"/>
    <s v="Credit card"/>
    <x v="0"/>
    <x v="0"/>
    <d v="2024-03-01T00:00:00"/>
    <x v="2"/>
  </r>
  <r>
    <n v="-135.5"/>
    <s v="Santander"/>
    <s v="Account"/>
    <x v="0"/>
    <x v="0"/>
    <d v="2024-03-02T00:00:00"/>
    <x v="2"/>
  </r>
  <r>
    <n v="-82.5"/>
    <s v="Millennium"/>
    <s v="Account"/>
    <x v="8"/>
    <x v="0"/>
    <d v="2024-03-02T00:00:00"/>
    <x v="2"/>
  </r>
  <r>
    <n v="-200"/>
    <s v="Santander"/>
    <s v="Account"/>
    <x v="7"/>
    <x v="0"/>
    <d v="2024-03-04T00:00:00"/>
    <x v="2"/>
  </r>
  <r>
    <n v="150"/>
    <s v="Millennium"/>
    <s v="Account"/>
    <x v="11"/>
    <x v="1"/>
    <d v="2024-03-06T00:00:00"/>
    <x v="2"/>
  </r>
  <r>
    <n v="-24.49"/>
    <s v="Wallet"/>
    <s v="Gift card"/>
    <x v="0"/>
    <x v="0"/>
    <d v="2024-03-08T00:00:00"/>
    <x v="2"/>
  </r>
  <r>
    <n v="4500"/>
    <s v="Santander"/>
    <s v="Account"/>
    <x v="1"/>
    <x v="1"/>
    <d v="2024-03-10T00:00:00"/>
    <x v="2"/>
  </r>
  <r>
    <n v="-2000"/>
    <s v="Santander"/>
    <s v="Account"/>
    <x v="2"/>
    <x v="0"/>
    <d v="2024-03-11T00:00:00"/>
    <x v="2"/>
  </r>
  <r>
    <n v="-200"/>
    <s v="Santander"/>
    <s v="Account"/>
    <x v="0"/>
    <x v="0"/>
    <d v="2024-03-12T00:00:00"/>
    <x v="2"/>
  </r>
  <r>
    <n v="-469.9"/>
    <s v="Santander"/>
    <s v="Account"/>
    <x v="9"/>
    <x v="0"/>
    <d v="2024-03-13T00:00:00"/>
    <x v="2"/>
  </r>
  <r>
    <n v="-9.5"/>
    <s v="Wallet"/>
    <s v="Money"/>
    <x v="12"/>
    <x v="0"/>
    <d v="2024-03-17T00:00:00"/>
    <x v="2"/>
  </r>
  <r>
    <n v="-23"/>
    <s v="Santander"/>
    <s v="Account"/>
    <x v="3"/>
    <x v="0"/>
    <d v="2024-03-20T00:00:00"/>
    <x v="2"/>
  </r>
  <r>
    <n v="-150"/>
    <s v="Santander"/>
    <s v="Account"/>
    <x v="0"/>
    <x v="0"/>
    <d v="2024-03-22T00:00:00"/>
    <x v="2"/>
  </r>
  <r>
    <n v="-300"/>
    <s v="Santander"/>
    <s v="Account"/>
    <x v="5"/>
    <x v="0"/>
    <d v="2024-03-24T00:00:00"/>
    <x v="2"/>
  </r>
  <r>
    <n v="5"/>
    <s v="Millennium"/>
    <s v="Savings account"/>
    <x v="14"/>
    <x v="1"/>
    <d v="2024-03-26T00:00:00"/>
    <x v="2"/>
  </r>
  <r>
    <n v="-79.5"/>
    <s v="Santander"/>
    <s v="Credit card"/>
    <x v="10"/>
    <x v="0"/>
    <d v="2024-03-28T00:00:00"/>
    <x v="2"/>
  </r>
  <r>
    <n v="-200"/>
    <s v="Santander"/>
    <s v="Account"/>
    <x v="0"/>
    <x v="0"/>
    <d v="2024-03-30T00:00:00"/>
    <x v="2"/>
  </r>
  <r>
    <n v="-23.5"/>
    <s v="Santander"/>
    <s v="Credit card"/>
    <x v="12"/>
    <x v="0"/>
    <d v="2024-04-01T00:00:00"/>
    <x v="3"/>
  </r>
  <r>
    <n v="-82.5"/>
    <s v="Santander"/>
    <s v="Account"/>
    <x v="8"/>
    <x v="0"/>
    <d v="2024-04-02T00:00:00"/>
    <x v="3"/>
  </r>
  <r>
    <n v="150"/>
    <s v="Millennium"/>
    <s v="Account"/>
    <x v="11"/>
    <x v="1"/>
    <d v="2024-04-06T00:00:00"/>
    <x v="3"/>
  </r>
  <r>
    <n v="-99.97"/>
    <s v="Santander"/>
    <s v="Account"/>
    <x v="0"/>
    <x v="0"/>
    <d v="2024-04-07T00:00:00"/>
    <x v="3"/>
  </r>
  <r>
    <n v="4500"/>
    <s v="Santander"/>
    <s v="Account"/>
    <x v="1"/>
    <x v="1"/>
    <d v="2024-04-10T00:00:00"/>
    <x v="3"/>
  </r>
  <r>
    <n v="-2000"/>
    <s v="Santander"/>
    <s v="Account"/>
    <x v="2"/>
    <x v="0"/>
    <d v="2024-04-11T00:00:00"/>
    <x v="3"/>
  </r>
  <r>
    <n v="-149"/>
    <s v="Santander"/>
    <s v="Account"/>
    <x v="9"/>
    <x v="0"/>
    <d v="2024-04-13T00:00:00"/>
    <x v="3"/>
  </r>
  <r>
    <n v="104.5"/>
    <s v="Santander"/>
    <s v="Credit card"/>
    <x v="13"/>
    <x v="2"/>
    <d v="2024-04-15T00:00:00"/>
    <x v="3"/>
  </r>
  <r>
    <n v="-104.5"/>
    <s v="Santander"/>
    <s v="Account"/>
    <x v="13"/>
    <x v="2"/>
    <d v="2024-04-15T00:00:00"/>
    <x v="3"/>
  </r>
  <r>
    <n v="-49"/>
    <s v="Millennium"/>
    <s v="Account"/>
    <x v="3"/>
    <x v="0"/>
    <d v="2024-04-15T00:00:00"/>
    <x v="3"/>
  </r>
  <r>
    <n v="-9.99"/>
    <s v="Santander"/>
    <s v="Credit card"/>
    <x v="0"/>
    <x v="0"/>
    <d v="2024-04-16T00:00:00"/>
    <x v="3"/>
  </r>
  <r>
    <n v="-100"/>
    <s v="Santander"/>
    <s v="Account"/>
    <x v="5"/>
    <x v="0"/>
    <d v="2024-04-17T00:00:00"/>
    <x v="3"/>
  </r>
  <r>
    <n v="-57.9"/>
    <s v="Santander"/>
    <s v="Credit card"/>
    <x v="7"/>
    <x v="0"/>
    <d v="2024-04-19T00:00:00"/>
    <x v="3"/>
  </r>
  <r>
    <n v="-159.9"/>
    <s v="Santander"/>
    <s v="Account"/>
    <x v="0"/>
    <x v="0"/>
    <d v="2024-04-21T00:00:00"/>
    <x v="3"/>
  </r>
  <r>
    <n v="-1000"/>
    <s v="Santander"/>
    <s v="Account"/>
    <x v="7"/>
    <x v="0"/>
    <d v="2024-04-23T00:00:00"/>
    <x v="3"/>
  </r>
  <r>
    <n v="50"/>
    <s v="Millennium"/>
    <s v="Savings account"/>
    <x v="14"/>
    <x v="1"/>
    <d v="2024-04-25T00:00:00"/>
    <x v="3"/>
  </r>
  <r>
    <n v="-69.900000000000006"/>
    <s v="Santander"/>
    <s v="Account"/>
    <x v="0"/>
    <x v="0"/>
    <d v="2024-04-27T00:00:00"/>
    <x v="3"/>
  </r>
  <r>
    <n v="-32.5"/>
    <s v="Santander"/>
    <s v="Account"/>
    <x v="0"/>
    <x v="0"/>
    <d v="2024-04-28T00:00:00"/>
    <x v="3"/>
  </r>
  <r>
    <n v="-139"/>
    <s v="Santander"/>
    <s v="Account"/>
    <x v="10"/>
    <x v="0"/>
    <d v="2024-04-29T00:00:00"/>
    <x v="3"/>
  </r>
  <r>
    <n v="-250"/>
    <s v="Santander"/>
    <s v="Credit card"/>
    <x v="0"/>
    <x v="0"/>
    <d v="2024-05-07T00:00:00"/>
    <x v="4"/>
  </r>
  <r>
    <n v="-80"/>
    <s v="Santander"/>
    <s v="Account"/>
    <x v="8"/>
    <x v="0"/>
    <d v="2024-05-10T00:00:00"/>
    <x v="4"/>
  </r>
  <r>
    <n v="4500"/>
    <s v="Santander"/>
    <s v="Account"/>
    <x v="1"/>
    <x v="1"/>
    <d v="2024-05-10T00:00:00"/>
    <x v="4"/>
  </r>
  <r>
    <n v="-2000"/>
    <s v="Santander"/>
    <s v="Account"/>
    <x v="2"/>
    <x v="0"/>
    <d v="2024-05-11T00:00:00"/>
    <x v="4"/>
  </r>
  <r>
    <n v="-250"/>
    <s v="Santander"/>
    <s v="Credit card"/>
    <x v="0"/>
    <x v="0"/>
    <d v="2024-05-14T00:00:00"/>
    <x v="4"/>
  </r>
  <r>
    <n v="91.39"/>
    <s v="Santander"/>
    <s v="Credit card"/>
    <x v="13"/>
    <x v="2"/>
    <d v="2024-05-15T00:00:00"/>
    <x v="4"/>
  </r>
  <r>
    <n v="-91.39"/>
    <s v="Santander"/>
    <s v="Account"/>
    <x v="13"/>
    <x v="2"/>
    <d v="2024-05-15T00:00:00"/>
    <x v="4"/>
  </r>
  <r>
    <n v="-250"/>
    <s v="Santander"/>
    <s v="Credit card"/>
    <x v="0"/>
    <x v="0"/>
    <d v="2024-05-21T00:00:00"/>
    <x v="4"/>
  </r>
  <r>
    <n v="-250"/>
    <s v="Santander"/>
    <s v="Credit card"/>
    <x v="0"/>
    <x v="0"/>
    <d v="2024-05-28T00:00:00"/>
    <x v="4"/>
  </r>
  <r>
    <n v="-50"/>
    <s v="Millennium"/>
    <s v="Account"/>
    <x v="3"/>
    <x v="0"/>
    <d v="2024-05-29T00:00:00"/>
    <x v="4"/>
  </r>
  <r>
    <n v="-80"/>
    <s v="Wallet"/>
    <s v="Money"/>
    <x v="7"/>
    <x v="0"/>
    <d v="2024-05-30T00:00:00"/>
    <x v="4"/>
  </r>
  <r>
    <n v="-250"/>
    <s v="Santander"/>
    <s v="Credit card"/>
    <x v="0"/>
    <x v="0"/>
    <d v="2024-06-07T00:00:00"/>
    <x v="5"/>
  </r>
  <r>
    <n v="-80"/>
    <s v="Santander"/>
    <s v="Account"/>
    <x v="8"/>
    <x v="0"/>
    <d v="2024-06-10T00:00:00"/>
    <x v="5"/>
  </r>
  <r>
    <n v="4500"/>
    <s v="Santander"/>
    <s v="Account"/>
    <x v="1"/>
    <x v="1"/>
    <d v="2024-06-10T00:00:00"/>
    <x v="5"/>
  </r>
  <r>
    <n v="-2000"/>
    <s v="Santander"/>
    <s v="Account"/>
    <x v="2"/>
    <x v="0"/>
    <d v="2024-06-11T00:00:00"/>
    <x v="5"/>
  </r>
  <r>
    <n v="-250"/>
    <s v="Santander"/>
    <s v="Credit card"/>
    <x v="0"/>
    <x v="0"/>
    <d v="2024-06-14T00:00:00"/>
    <x v="5"/>
  </r>
  <r>
    <n v="1000"/>
    <s v="Santander"/>
    <s v="Credit card"/>
    <x v="13"/>
    <x v="2"/>
    <d v="2024-06-15T00:00:00"/>
    <x v="5"/>
  </r>
  <r>
    <n v="-1000"/>
    <s v="Santander"/>
    <s v="Account"/>
    <x v="13"/>
    <x v="2"/>
    <d v="2024-06-15T00:00:00"/>
    <x v="5"/>
  </r>
  <r>
    <n v="-100"/>
    <s v="Millennium"/>
    <s v="Account"/>
    <x v="12"/>
    <x v="0"/>
    <d v="2024-06-15T00:00:00"/>
    <x v="5"/>
  </r>
  <r>
    <n v="-250"/>
    <s v="Santander"/>
    <s v="Credit card"/>
    <x v="0"/>
    <x v="0"/>
    <d v="2024-06-21T00:00:00"/>
    <x v="5"/>
  </r>
  <r>
    <n v="-250"/>
    <s v="Santander"/>
    <s v="Credit card"/>
    <x v="0"/>
    <x v="0"/>
    <d v="2024-06-28T00:00:00"/>
    <x v="5"/>
  </r>
  <r>
    <n v="-300"/>
    <s v="Santander"/>
    <s v="Credit card"/>
    <x v="9"/>
    <x v="0"/>
    <d v="2024-06-28T00:00:00"/>
    <x v="5"/>
  </r>
  <r>
    <n v="-50"/>
    <s v="Millennium"/>
    <s v="Account"/>
    <x v="3"/>
    <x v="0"/>
    <d v="2024-06-29T00:00:00"/>
    <x v="5"/>
  </r>
  <r>
    <n v="400"/>
    <s v="Millennium"/>
    <s v="Account"/>
    <x v="6"/>
    <x v="1"/>
    <d v="2024-06-29T00:00:00"/>
    <x v="5"/>
  </r>
  <r>
    <n v="-200"/>
    <s v="Wallet"/>
    <s v="Money"/>
    <x v="7"/>
    <x v="0"/>
    <d v="2024-06-30T00:00:00"/>
    <x v="5"/>
  </r>
  <r>
    <n v="-30"/>
    <s v="Wallet"/>
    <s v="Gift card"/>
    <x v="0"/>
    <x v="0"/>
    <d v="2024-07-03T00:00:00"/>
    <x v="6"/>
  </r>
  <r>
    <n v="-100"/>
    <s v="Santander"/>
    <s v="Account"/>
    <x v="7"/>
    <x v="0"/>
    <d v="2024-07-07T00:00:00"/>
    <x v="6"/>
  </r>
  <r>
    <n v="4500"/>
    <s v="Santander"/>
    <s v="Account"/>
    <x v="1"/>
    <x v="1"/>
    <d v="2024-07-10T00:00:00"/>
    <x v="6"/>
  </r>
  <r>
    <n v="-2000"/>
    <s v="Santander"/>
    <s v="Account"/>
    <x v="2"/>
    <x v="0"/>
    <d v="2024-07-11T00:00:00"/>
    <x v="6"/>
  </r>
  <r>
    <n v="-40"/>
    <s v="Santander"/>
    <s v="Credit card"/>
    <x v="0"/>
    <x v="0"/>
    <d v="2024-07-14T00:00:00"/>
    <x v="6"/>
  </r>
  <r>
    <n v="1300"/>
    <s v="Santander"/>
    <s v="Credit card"/>
    <x v="13"/>
    <x v="2"/>
    <d v="2024-07-15T00:00:00"/>
    <x v="6"/>
  </r>
  <r>
    <n v="-1300"/>
    <s v="Santander"/>
    <s v="Account"/>
    <x v="13"/>
    <x v="2"/>
    <d v="2024-07-15T00:00:00"/>
    <x v="6"/>
  </r>
  <r>
    <n v="-300"/>
    <s v="Santander"/>
    <s v="Fixed-term deposit"/>
    <x v="12"/>
    <x v="0"/>
    <d v="2024-07-16T00:00:00"/>
    <x v="6"/>
  </r>
  <r>
    <n v="800"/>
    <s v="Millennium"/>
    <s v="Savings account"/>
    <x v="14"/>
    <x v="1"/>
    <d v="2024-07-18T00:00:00"/>
    <x v="6"/>
  </r>
  <r>
    <n v="-600"/>
    <s v="Millennium"/>
    <s v="Account"/>
    <x v="7"/>
    <x v="0"/>
    <d v="2024-07-21T00:00:00"/>
    <x v="6"/>
  </r>
  <r>
    <n v="120"/>
    <s v="Santander"/>
    <s v="Fixed-term deposit"/>
    <x v="11"/>
    <x v="1"/>
    <d v="2024-07-22T00:00:00"/>
    <x v="6"/>
  </r>
  <r>
    <n v="-90"/>
    <s v="Santander"/>
    <s v="Account"/>
    <x v="8"/>
    <x v="0"/>
    <d v="2024-07-24T00:00:00"/>
    <x v="6"/>
  </r>
  <r>
    <n v="-50"/>
    <s v="Santander"/>
    <s v="Credit card"/>
    <x v="0"/>
    <x v="0"/>
    <d v="2024-07-26T00:00:00"/>
    <x v="6"/>
  </r>
  <r>
    <n v="-250"/>
    <s v="Millennium"/>
    <s v="Savings account"/>
    <x v="9"/>
    <x v="0"/>
    <d v="2024-07-29T00:00:00"/>
    <x v="6"/>
  </r>
  <r>
    <n v="500"/>
    <s v="Millennium"/>
    <s v="Account"/>
    <x v="15"/>
    <x v="1"/>
    <d v="2024-07-30T00:00:00"/>
    <x v="6"/>
  </r>
  <r>
    <n v="-45"/>
    <s v="Santander"/>
    <s v="Credit card"/>
    <x v="0"/>
    <x v="0"/>
    <d v="2024-07-31T00:00:00"/>
    <x v="6"/>
  </r>
  <r>
    <n v="-600"/>
    <s v="Santander"/>
    <s v="Account"/>
    <x v="0"/>
    <x v="0"/>
    <d v="2024-08-01T00:00:00"/>
    <x v="7"/>
  </r>
  <r>
    <n v="-1020"/>
    <s v="Santander"/>
    <s v="Fixed-term deposit"/>
    <x v="13"/>
    <x v="2"/>
    <d v="2024-08-01T00:00:00"/>
    <x v="7"/>
  </r>
  <r>
    <n v="-200"/>
    <s v="Millennium"/>
    <s v="Account"/>
    <x v="8"/>
    <x v="0"/>
    <d v="2024-08-01T00:00:00"/>
    <x v="7"/>
  </r>
  <r>
    <n v="-70"/>
    <s v="Santander"/>
    <s v="Credit card"/>
    <x v="0"/>
    <x v="0"/>
    <d v="2024-08-09T00:00:00"/>
    <x v="7"/>
  </r>
  <r>
    <n v="4500"/>
    <s v="Santander"/>
    <s v="Account"/>
    <x v="1"/>
    <x v="1"/>
    <d v="2024-08-10T00:00:00"/>
    <x v="7"/>
  </r>
  <r>
    <n v="-2000"/>
    <s v="Santander"/>
    <s v="Account"/>
    <x v="2"/>
    <x v="0"/>
    <d v="2024-08-11T00:00:00"/>
    <x v="7"/>
  </r>
  <r>
    <n v="-100"/>
    <s v="Millennium"/>
    <s v="Account"/>
    <x v="7"/>
    <x v="0"/>
    <d v="2024-08-14T00:00:00"/>
    <x v="7"/>
  </r>
  <r>
    <n v="135"/>
    <s v="Santander"/>
    <s v="Credit card"/>
    <x v="13"/>
    <x v="2"/>
    <d v="2024-08-15T00:00:00"/>
    <x v="7"/>
  </r>
  <r>
    <n v="-135"/>
    <s v="Santander"/>
    <s v="Account"/>
    <x v="13"/>
    <x v="2"/>
    <d v="2024-08-15T00:00:00"/>
    <x v="7"/>
  </r>
  <r>
    <n v="-400"/>
    <s v="Santander"/>
    <s v="Account"/>
    <x v="12"/>
    <x v="0"/>
    <d v="2024-08-16T00:00:00"/>
    <x v="7"/>
  </r>
  <r>
    <n v="-32"/>
    <s v="Santander"/>
    <s v="Credit card"/>
    <x v="0"/>
    <x v="0"/>
    <d v="2024-08-18T00:00:00"/>
    <x v="7"/>
  </r>
  <r>
    <n v="200"/>
    <s v="Wallet"/>
    <s v="Money"/>
    <x v="14"/>
    <x v="1"/>
    <d v="2024-08-20T00:00:00"/>
    <x v="7"/>
  </r>
  <r>
    <n v="-150"/>
    <s v="Wallet"/>
    <s v="Money"/>
    <x v="7"/>
    <x v="0"/>
    <d v="2024-08-22T00:00:00"/>
    <x v="7"/>
  </r>
  <r>
    <n v="-47.5"/>
    <s v="Wallet"/>
    <s v="Money"/>
    <x v="0"/>
    <x v="0"/>
    <d v="2024-08-23T00:00:00"/>
    <x v="7"/>
  </r>
  <r>
    <n v="-90"/>
    <s v="Santander"/>
    <s v="Account"/>
    <x v="8"/>
    <x v="0"/>
    <d v="2024-08-24T00:00:00"/>
    <x v="7"/>
  </r>
  <r>
    <n v="-300"/>
    <s v="Millennium"/>
    <s v="Savings account"/>
    <x v="9"/>
    <x v="0"/>
    <d v="2024-08-27T00:00:00"/>
    <x v="7"/>
  </r>
  <r>
    <n v="500"/>
    <s v="Millennium"/>
    <s v="Account"/>
    <x v="15"/>
    <x v="1"/>
    <d v="2024-08-30T00:00:00"/>
    <x v="7"/>
  </r>
  <r>
    <n v="200"/>
    <s v="Santander"/>
    <s v="Account"/>
    <x v="14"/>
    <x v="1"/>
    <d v="2024-08-31T00:00:00"/>
    <x v="7"/>
  </r>
  <r>
    <n v="-150"/>
    <s v="Santander"/>
    <s v="Account"/>
    <x v="8"/>
    <x v="0"/>
    <d v="2024-09-01T00:00:00"/>
    <x v="8"/>
  </r>
  <r>
    <n v="-20"/>
    <s v="Millennium"/>
    <s v="Account"/>
    <x v="0"/>
    <x v="0"/>
    <d v="2024-09-04T00:00:00"/>
    <x v="8"/>
  </r>
  <r>
    <n v="-40"/>
    <s v="Santander"/>
    <s v="Account"/>
    <x v="3"/>
    <x v="0"/>
    <d v="2024-09-07T00:00:00"/>
    <x v="8"/>
  </r>
  <r>
    <n v="-500"/>
    <s v="Santander"/>
    <s v="Account"/>
    <x v="0"/>
    <x v="0"/>
    <d v="2024-09-08T00:00:00"/>
    <x v="8"/>
  </r>
  <r>
    <n v="4500"/>
    <s v="Santander"/>
    <s v="Account"/>
    <x v="1"/>
    <x v="1"/>
    <d v="2024-09-10T00:00:00"/>
    <x v="8"/>
  </r>
  <r>
    <n v="-20"/>
    <s v="Santander"/>
    <s v="Credit card"/>
    <x v="7"/>
    <x v="0"/>
    <d v="2024-09-11T00:00:00"/>
    <x v="8"/>
  </r>
  <r>
    <n v="-2000"/>
    <s v="Santander"/>
    <s v="Account"/>
    <x v="2"/>
    <x v="0"/>
    <d v="2024-09-11T00:00:00"/>
    <x v="8"/>
  </r>
  <r>
    <n v="102"/>
    <s v="Santander"/>
    <s v="Credit card"/>
    <x v="13"/>
    <x v="2"/>
    <d v="2024-09-15T00:00:00"/>
    <x v="8"/>
  </r>
  <r>
    <n v="-102"/>
    <s v="Santander"/>
    <s v="Account"/>
    <x v="13"/>
    <x v="2"/>
    <d v="2024-09-15T00:00:00"/>
    <x v="8"/>
  </r>
  <r>
    <n v="-18.5"/>
    <s v="Santander"/>
    <s v="Account"/>
    <x v="0"/>
    <x v="0"/>
    <d v="2024-09-18T00:00:00"/>
    <x v="8"/>
  </r>
  <r>
    <n v="-150"/>
    <s v="Santander"/>
    <s v="Account"/>
    <x v="8"/>
    <x v="0"/>
    <d v="2024-10-01T00:00:00"/>
    <x v="9"/>
  </r>
  <r>
    <n v="-40"/>
    <s v="Santander"/>
    <s v="Account"/>
    <x v="3"/>
    <x v="0"/>
    <d v="2024-10-07T00:00:00"/>
    <x v="9"/>
  </r>
  <r>
    <n v="-600"/>
    <s v="Santander"/>
    <s v="Account"/>
    <x v="0"/>
    <x v="0"/>
    <d v="2024-10-08T00:00:00"/>
    <x v="9"/>
  </r>
  <r>
    <n v="4500"/>
    <s v="Santander"/>
    <s v="Account"/>
    <x v="1"/>
    <x v="1"/>
    <d v="2024-10-10T00:00:00"/>
    <x v="9"/>
  </r>
  <r>
    <n v="-40"/>
    <s v="Santander"/>
    <s v="Credit card"/>
    <x v="7"/>
    <x v="0"/>
    <d v="2024-10-11T00:00:00"/>
    <x v="9"/>
  </r>
  <r>
    <n v="-2000"/>
    <s v="Santander"/>
    <s v="Account"/>
    <x v="2"/>
    <x v="0"/>
    <d v="2024-10-11T00:00:00"/>
    <x v="9"/>
  </r>
  <r>
    <n v="20"/>
    <s v="Santander"/>
    <s v="Credit card"/>
    <x v="13"/>
    <x v="2"/>
    <d v="2024-10-15T00:00:00"/>
    <x v="9"/>
  </r>
  <r>
    <n v="-20"/>
    <s v="Santander"/>
    <s v="Account"/>
    <x v="13"/>
    <x v="2"/>
    <d v="2024-10-15T00:00:00"/>
    <x v="9"/>
  </r>
  <r>
    <n v="4500"/>
    <s v="Santander"/>
    <s v="Account"/>
    <x v="1"/>
    <x v="1"/>
    <d v="2024-11-10T00:00:00"/>
    <x v="10"/>
  </r>
  <r>
    <n v="-2000"/>
    <s v="Santander"/>
    <s v="Account"/>
    <x v="2"/>
    <x v="0"/>
    <d v="2024-11-11T00:00:00"/>
    <x v="10"/>
  </r>
  <r>
    <n v="-82"/>
    <s v="Santander"/>
    <s v="Account"/>
    <x v="8"/>
    <x v="0"/>
    <d v="2024-11-11T00:00:00"/>
    <x v="10"/>
  </r>
  <r>
    <n v="-200"/>
    <s v="Santander"/>
    <s v="Account"/>
    <x v="0"/>
    <x v="0"/>
    <d v="2024-11-11T00:00:00"/>
    <x v="10"/>
  </r>
  <r>
    <n v="-12"/>
    <s v="Santander"/>
    <s v="Account"/>
    <x v="3"/>
    <x v="0"/>
    <d v="2024-11-12T00:00:00"/>
    <x v="10"/>
  </r>
  <r>
    <n v="-90"/>
    <s v="Santander"/>
    <s v="Account"/>
    <x v="7"/>
    <x v="0"/>
    <d v="2024-11-14T00:00:00"/>
    <x v="10"/>
  </r>
  <r>
    <n v="40"/>
    <s v="Santander"/>
    <s v="Credit card"/>
    <x v="13"/>
    <x v="2"/>
    <d v="2024-11-15T00:00:00"/>
    <x v="10"/>
  </r>
  <r>
    <n v="-40"/>
    <s v="Santander"/>
    <s v="Account"/>
    <x v="13"/>
    <x v="2"/>
    <d v="2024-11-15T00:00:00"/>
    <x v="10"/>
  </r>
  <r>
    <n v="-28"/>
    <s v="Santander"/>
    <s v="Account"/>
    <x v="0"/>
    <x v="0"/>
    <d v="2024-11-16T00:00:00"/>
    <x v="10"/>
  </r>
  <r>
    <n v="-63"/>
    <s v="Santander"/>
    <s v="Account"/>
    <x v="12"/>
    <x v="0"/>
    <d v="2024-11-17T00:00:00"/>
    <x v="10"/>
  </r>
  <r>
    <n v="-15"/>
    <s v="Santander"/>
    <s v="Account"/>
    <x v="8"/>
    <x v="0"/>
    <d v="2024-11-17T00:00:00"/>
    <x v="10"/>
  </r>
  <r>
    <n v="-44"/>
    <s v="Santander"/>
    <s v="Account"/>
    <x v="0"/>
    <x v="0"/>
    <d v="2024-11-19T00:00:00"/>
    <x v="10"/>
  </r>
  <r>
    <n v="-107"/>
    <s v="Santander"/>
    <s v="Account"/>
    <x v="9"/>
    <x v="0"/>
    <d v="2024-11-20T00:00:00"/>
    <x v="10"/>
  </r>
  <r>
    <n v="-169"/>
    <s v="Santander"/>
    <s v="Account"/>
    <x v="5"/>
    <x v="0"/>
    <d v="2024-11-21T00:00:00"/>
    <x v="10"/>
  </r>
  <r>
    <n v="-51"/>
    <s v="Santander"/>
    <s v="Account"/>
    <x v="9"/>
    <x v="0"/>
    <d v="2024-11-22T00:00:00"/>
    <x v="10"/>
  </r>
  <r>
    <n v="-80"/>
    <s v="Santander"/>
    <s v="Account"/>
    <x v="0"/>
    <x v="0"/>
    <d v="2024-11-22T00:00:00"/>
    <x v="10"/>
  </r>
  <r>
    <n v="-70"/>
    <s v="Santander"/>
    <s v="Account"/>
    <x v="12"/>
    <x v="0"/>
    <d v="2024-11-22T00:00:00"/>
    <x v="10"/>
  </r>
  <r>
    <n v="-35"/>
    <s v="Santander"/>
    <s v="Account"/>
    <x v="3"/>
    <x v="0"/>
    <d v="2024-11-23T00:00:00"/>
    <x v="10"/>
  </r>
  <r>
    <n v="-11"/>
    <s v="Santander"/>
    <s v="Account"/>
    <x v="8"/>
    <x v="0"/>
    <d v="2024-11-23T00:00:00"/>
    <x v="10"/>
  </r>
  <r>
    <n v="-80"/>
    <s v="Santander"/>
    <s v="Account"/>
    <x v="7"/>
    <x v="0"/>
    <d v="2024-11-25T00:00:00"/>
    <x v="10"/>
  </r>
  <r>
    <n v="-58"/>
    <s v="Santander"/>
    <s v="Account"/>
    <x v="0"/>
    <x v="0"/>
    <d v="2024-11-26T00:00:00"/>
    <x v="10"/>
  </r>
  <r>
    <n v="-52"/>
    <s v="Santander"/>
    <s v="Account"/>
    <x v="8"/>
    <x v="0"/>
    <d v="2024-11-27T00:00:00"/>
    <x v="10"/>
  </r>
  <r>
    <n v="-44"/>
    <s v="Santander"/>
    <s v="Account"/>
    <x v="7"/>
    <x v="0"/>
    <d v="2024-11-27T00:00:00"/>
    <x v="10"/>
  </r>
  <r>
    <n v="-48"/>
    <s v="Santander"/>
    <s v="Account"/>
    <x v="8"/>
    <x v="0"/>
    <d v="2024-11-27T00:00:00"/>
    <x v="10"/>
  </r>
  <r>
    <n v="-65"/>
    <s v="Santander"/>
    <s v="Account"/>
    <x v="5"/>
    <x v="0"/>
    <d v="2024-11-28T00:00:00"/>
    <x v="10"/>
  </r>
  <r>
    <n v="400"/>
    <s v="Wallet"/>
    <s v="Money"/>
    <x v="14"/>
    <x v="1"/>
    <d v="2024-11-29T00:00:00"/>
    <x v="10"/>
  </r>
  <r>
    <n v="-96"/>
    <s v="Santander"/>
    <s v="Account"/>
    <x v="0"/>
    <x v="0"/>
    <d v="2024-11-30T00:00:00"/>
    <x v="10"/>
  </r>
  <r>
    <n v="-50"/>
    <s v="Santander"/>
    <s v="Account"/>
    <x v="0"/>
    <x v="0"/>
    <d v="2024-12-01T00:00:00"/>
    <x v="11"/>
  </r>
  <r>
    <n v="-50"/>
    <s v="Santander"/>
    <s v="Account"/>
    <x v="0"/>
    <x v="0"/>
    <d v="2024-12-01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150"/>
    <s v="Santander"/>
    <s v="Account"/>
    <x v="7"/>
    <x v="0"/>
    <d v="2024-12-03T00:00:00"/>
    <x v="11"/>
  </r>
  <r>
    <n v="-150"/>
    <s v="Santander"/>
    <s v="Account"/>
    <x v="7"/>
    <x v="0"/>
    <d v="2024-12-03T00:00:00"/>
    <x v="11"/>
  </r>
  <r>
    <n v="-100"/>
    <s v="Santander"/>
    <s v="Account"/>
    <x v="0"/>
    <x v="0"/>
    <d v="2024-12-06T00:00:00"/>
    <x v="11"/>
  </r>
  <r>
    <n v="-100"/>
    <s v="Santander"/>
    <s v="Account"/>
    <x v="0"/>
    <x v="0"/>
    <d v="2024-12-06T00:00:00"/>
    <x v="11"/>
  </r>
  <r>
    <n v="4500"/>
    <s v="Santander"/>
    <s v="Account"/>
    <x v="1"/>
    <x v="1"/>
    <d v="2024-12-10T00:00:00"/>
    <x v="11"/>
  </r>
  <r>
    <n v="-2000"/>
    <s v="Santander"/>
    <s v="Account"/>
    <x v="2"/>
    <x v="0"/>
    <d v="2024-12-11T00:00:00"/>
    <x v="11"/>
  </r>
  <r>
    <n v="-50"/>
    <s v="Santander"/>
    <s v="Account"/>
    <x v="7"/>
    <x v="0"/>
    <d v="2024-12-14T00:00:00"/>
    <x v="11"/>
  </r>
  <r>
    <n v="-100"/>
    <s v="Santander"/>
    <s v="Account"/>
    <x v="10"/>
    <x v="0"/>
    <d v="2024-12-15T00:00:00"/>
    <x v="11"/>
  </r>
  <r>
    <n v="-100"/>
    <s v="Santander"/>
    <s v="Account"/>
    <x v="0"/>
    <x v="0"/>
    <d v="2024-12-18T00:00:00"/>
    <x v="11"/>
  </r>
  <r>
    <n v="500"/>
    <s v="Wallet"/>
    <s v="Money"/>
    <x v="14"/>
    <x v="1"/>
    <d v="2024-12-22T00:00:00"/>
    <x v="11"/>
  </r>
  <r>
    <n v="-100"/>
    <s v="Wallet"/>
    <s v="Money"/>
    <x v="7"/>
    <x v="0"/>
    <d v="2024-12-23T00:00:00"/>
    <x v="11"/>
  </r>
  <r>
    <n v="1500"/>
    <s v="Wallet"/>
    <s v="Money"/>
    <x v="14"/>
    <x v="1"/>
    <d v="2024-12-24T00:00:00"/>
    <x v="11"/>
  </r>
  <r>
    <n v="-500"/>
    <s v="Wallet"/>
    <s v="Money"/>
    <x v="5"/>
    <x v="0"/>
    <d v="2024-12-28T00:00:00"/>
    <x v="11"/>
  </r>
  <r>
    <n v="-300"/>
    <s v="Wallet"/>
    <s v="Money"/>
    <x v="0"/>
    <x v="0"/>
    <d v="2024-12-30T00:00:00"/>
    <x v="11"/>
  </r>
  <r>
    <n v="1020"/>
    <s v="Santander"/>
    <s v="Account"/>
    <x v="13"/>
    <x v="2"/>
    <d v="2024-08-01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C198A-DEF5-4E6F-953B-110FABA929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4" firstHeaderRow="1" firstDataRow="2" firstDataCol="1"/>
  <pivotFields count="7">
    <pivotField dataField="1" numFmtId="8" showAll="0"/>
    <pivotField showAll="0"/>
    <pivotField showAll="0"/>
    <pivotField axis="axisRow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4"/>
    <field x="3"/>
  </rowFields>
  <rowItems count="20">
    <i>
      <x/>
    </i>
    <i r="1"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3"/>
    </i>
    <i r="1">
      <x v="15"/>
    </i>
    <i>
      <x v="1"/>
    </i>
    <i r="1">
      <x v="1"/>
    </i>
    <i r="1">
      <x v="4"/>
    </i>
    <i r="1">
      <x v="5"/>
    </i>
    <i r="1">
      <x v="10"/>
    </i>
    <i r="1">
      <x v="11"/>
    </i>
    <i r="1">
      <x v="12"/>
    </i>
    <i>
      <x v="2"/>
    </i>
    <i r="1">
      <x v="14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0" baseField="0" baseItem="0" numFmtId="8"/>
  </dataField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BC194C-97F3-4665-9728-44D15B36211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F5D85-F543-48D0-8F58-8432B3368A34}" name="Categories" displayName="Categories" ref="A1:B17" tableType="queryTable" totalsRowShown="0">
  <autoFilter ref="A1:B17" xr:uid="{ABAF5D85-F543-48D0-8F58-8432B3368A34}"/>
  <tableColumns count="2">
    <tableColumn id="1" xr3:uid="{CD8ABF24-89B3-4D48-B77B-853004EDD262}" uniqueName="1" name="Category" queryTableFieldId="1" dataDxfId="201"/>
    <tableColumn id="2" xr3:uid="{59D5CDF8-7AE6-437D-8D48-7AAE47AF732A}" uniqueName="2" name="Type" queryTableFieldId="2" dataDxfId="20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9DDFB3-A4B6-4937-8026-D84A6374B048}" name="Products" displayName="Products" ref="D1:E8" totalsRowShown="0" headerRowDxfId="199" dataDxfId="198">
  <autoFilter ref="D1:E8" xr:uid="{E69DDFB3-A4B6-4937-8026-D84A6374B048}"/>
  <tableColumns count="2">
    <tableColumn id="1" xr3:uid="{19F68E67-2D0E-4169-B87D-875AA217698E}" name="Bank" dataDxfId="197"/>
    <tableColumn id="2" xr3:uid="{075EEA26-C5E1-4FE9-932E-A0BD632D3559}" name="Product" dataDxfId="1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1694CE-ECEF-4EC5-991B-24C38154DF00}" name="Operations" displayName="Operations" ref="A1:G208" totalsRowShown="0" headerRowDxfId="195" dataDxfId="194">
  <autoFilter ref="A1:G208" xr:uid="{AA1694CE-ECEF-4EC5-991B-24C38154DF00}"/>
  <tableColumns count="7">
    <tableColumn id="1" xr3:uid="{8AC39D1C-35CF-43B9-84B5-7E33B84039B5}" name="Amount" dataDxfId="193"/>
    <tableColumn id="2" xr3:uid="{FB6FBFDB-6B89-4D52-BD2F-2F631DF5DE50}" name="Bank" dataDxfId="192"/>
    <tableColumn id="3" xr3:uid="{2A23E389-7026-40A8-9158-C3CE8B677805}" name="Product" dataDxfId="191"/>
    <tableColumn id="4" xr3:uid="{FBA2A393-8623-4B0B-A7D6-93C08AA37B3B}" name="Category" dataDxfId="190"/>
    <tableColumn id="5" xr3:uid="{C7BA59C5-0852-4D4D-ABA6-2EB54D64F656}" name="Type" dataDxfId="189">
      <calculatedColumnFormula>_xlfn.XLOOKUP(Operations[[#This Row],[Category]],Categories[Category],Categories[Type],"",0,1)</calculatedColumnFormula>
    </tableColumn>
    <tableColumn id="6" xr3:uid="{6FE51AA7-27C5-49C7-9EF7-05E5E1D31F47}" name="Date" dataDxfId="188"/>
    <tableColumn id="7" xr3:uid="{BA08BB57-284B-431E-905C-C32E82DE437F}" name="Month" dataDxfId="187">
      <calculatedColumnFormula>MONTH(Operations[[#This Row],[Date]])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1B97BA5-D02A-463F-BE3F-3BBF22880B01}" name="Summary1" displayName="Summary1" ref="A1:O18" totalsRowCount="1" headerRowDxfId="186">
  <autoFilter ref="A1:O17" xr:uid="{01B97BA5-D02A-463F-BE3F-3BBF22880B01}"/>
  <tableColumns count="15">
    <tableColumn id="1" xr3:uid="{BB490C2E-C544-43E8-801F-EBFC96936384}" name="Category" totalsRowLabel="Total"/>
    <tableColumn id="2" xr3:uid="{0FC059FF-A7E4-4E3F-88CB-2A57D8A458EE}" name="Type"/>
    <tableColumn id="3" xr3:uid="{A13EC68B-3DD9-48F0-B59A-5A995C9075A1}" name="1" totalsRowFunction="sum" dataDxfId="185" totalsRowDxfId="184">
      <calculatedColumnFormula array="1">SUMIFS(Operations[[Amount]:[Amount]],Operations[[Category]:[Category]],Summary1[[#This Row],[Category]:[Category]],Operations[[Month]:[Month]],Summary1[[#Headers],[1]])</calculatedColumnFormula>
    </tableColumn>
    <tableColumn id="4" xr3:uid="{F6E0A21B-32C7-4CCE-BA41-0F04925D0A39}" name="2" totalsRowFunction="sum" dataDxfId="183" totalsRowDxfId="182">
      <calculatedColumnFormula array="1">SUMIFS(Operations[[Amount]:[Amount]],Operations[[Category]:[Category]],Summary1[[#This Row],[Category]:[Category]],Operations[[Month]:[Month]],Summary1[[#Headers],[2]])</calculatedColumnFormula>
    </tableColumn>
    <tableColumn id="5" xr3:uid="{50566255-B13F-4D9D-9386-9346A73C6F60}" name="3" totalsRowFunction="sum" dataDxfId="181" totalsRowDxfId="180">
      <calculatedColumnFormula array="1">SUMIFS(Operations[[Amount]:[Amount]],Operations[[Category]:[Category]],Summary1[[#This Row],[Category]:[Category]],Operations[[Month]:[Month]],Summary1[[#Headers],[3]])</calculatedColumnFormula>
    </tableColumn>
    <tableColumn id="6" xr3:uid="{179EC00C-9434-4F31-BAEB-6373F990E873}" name="4" totalsRowFunction="sum" dataDxfId="179" totalsRowDxfId="178">
      <calculatedColumnFormula array="1">SUMIFS(Operations[[Amount]:[Amount]],Operations[[Category]:[Category]],Summary1[[#This Row],[Category]:[Category]],Operations[[Month]:[Month]],Summary1[[#Headers],[4]])</calculatedColumnFormula>
    </tableColumn>
    <tableColumn id="7" xr3:uid="{AE61E3AA-F566-409C-9684-AF8B405C8A4F}" name="5" totalsRowFunction="sum" dataDxfId="177" totalsRowDxfId="176">
      <calculatedColumnFormula array="1">SUMIFS(Operations[[Amount]:[Amount]],Operations[[Category]:[Category]],Summary1[[#This Row],[Category]:[Category]],Operations[[Month]:[Month]],Summary1[[#Headers],[5]])</calculatedColumnFormula>
    </tableColumn>
    <tableColumn id="8" xr3:uid="{87727A14-79C0-418E-AF6E-AFA61BF9C7B9}" name="6" totalsRowFunction="sum" dataDxfId="175" totalsRowDxfId="174">
      <calculatedColumnFormula array="1">SUMIFS(Operations[[Amount]:[Amount]],Operations[[Category]:[Category]],Summary1[[#This Row],[Category]:[Category]],Operations[[Month]:[Month]],Summary1[[#Headers],[6]])</calculatedColumnFormula>
    </tableColumn>
    <tableColumn id="9" xr3:uid="{47E66ADF-FB73-43D7-9FF4-D90232CB1817}" name="7" totalsRowFunction="sum" dataDxfId="173" totalsRowDxfId="172">
      <calculatedColumnFormula array="1">SUMIFS(Operations[[Amount]:[Amount]],Operations[[Category]:[Category]],Summary1[[#This Row],[Category]:[Category]],Operations[[Month]:[Month]],Summary1[[#Headers],[7]])</calculatedColumnFormula>
    </tableColumn>
    <tableColumn id="10" xr3:uid="{6BDDF65C-06D6-4BD6-B8CB-7BD269D07A11}" name="8" totalsRowFunction="sum" dataDxfId="171" totalsRowDxfId="170">
      <calculatedColumnFormula array="1">SUMIFS(Operations[[Amount]:[Amount]],Operations[[Category]:[Category]],Summary1[[#This Row],[Category]:[Category]],Operations[[Month]:[Month]],Summary1[[#Headers],[8]])</calculatedColumnFormula>
    </tableColumn>
    <tableColumn id="11" xr3:uid="{96389674-1F69-4AE8-A7E0-0B4E9AB72090}" name="9" totalsRowFunction="sum" dataDxfId="169" totalsRowDxfId="168">
      <calculatedColumnFormula array="1">SUMIFS(Operations[[Amount]:[Amount]],Operations[[Category]:[Category]],Summary1[[#This Row],[Category]:[Category]],Operations[[Month]:[Month]],Summary1[[#Headers],[9]])</calculatedColumnFormula>
    </tableColumn>
    <tableColumn id="12" xr3:uid="{E7FFBF8E-E4C6-4CCB-B7BA-13D0F3EEA95F}" name="10" totalsRowFunction="sum" dataDxfId="167" totalsRowDxfId="166">
      <calculatedColumnFormula array="1">SUMIFS(Operations[[Amount]:[Amount]],Operations[[Category]:[Category]],Summary1[[#This Row],[Category]:[Category]],Operations[[Month]:[Month]],Summary1[[#Headers],[10]])</calculatedColumnFormula>
    </tableColumn>
    <tableColumn id="13" xr3:uid="{8AD15B3E-4E57-4486-860D-7E050F7BE47F}" name="11" totalsRowFunction="sum" dataDxfId="165" totalsRowDxfId="164">
      <calculatedColumnFormula array="1">SUMIFS(Operations[[Amount]:[Amount]],Operations[[Category]:[Category]],Summary1[[#This Row],[Category]:[Category]],Operations[[Month]:[Month]],Summary1[[#Headers],[11]])</calculatedColumnFormula>
    </tableColumn>
    <tableColumn id="14" xr3:uid="{8A147E8E-F4B2-45DF-937E-E404997CE2DD}" name="12" totalsRowFunction="sum" dataDxfId="163" totalsRowDxfId="162">
      <calculatedColumnFormula array="1">SUMIFS(Operations[[Amount]:[Amount]],Operations[[Category]:[Category]],Summary1[[#This Row],[Category]:[Category]],Operations[[Month]:[Month]],Summary1[[#Headers],[12]])</calculatedColumnFormula>
    </tableColumn>
    <tableColumn id="15" xr3:uid="{BBCAD10F-02F8-4756-A04D-81BA52BA018C}" name="Total" totalsRowFunction="sum" dataDxfId="161" totalsRowDxfId="160">
      <calculatedColumnFormula>SUM(Summary1[[#This Row],[1]:[12]])</calculatedColumnFormula>
    </tableColumn>
  </tableColumns>
  <tableStyleInfo name="TableStyleMedium2" showFirstColumn="0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2307FE-0A43-4C9B-B55D-159007BBE2EF}" name="Summary2" displayName="Summary2" ref="A1:O21" totalsRowShown="0" headerRowDxfId="159">
  <autoFilter ref="A1:O21" xr:uid="{6F2307FE-0A43-4C9B-B55D-159007BBE2EF}"/>
  <tableColumns count="15">
    <tableColumn id="1" xr3:uid="{7CA65C4A-6687-472A-B316-E0413E312BDE}" name="Category" dataDxfId="158"/>
    <tableColumn id="2" xr3:uid="{5D5DCFC5-4D69-4819-9C6C-BCF1E8EDBED9}" name="Type" dataDxfId="157"/>
    <tableColumn id="3" xr3:uid="{43D39624-5A92-412B-9131-EA0076DD1691}" name="1" dataDxfId="156"/>
    <tableColumn id="4" xr3:uid="{CAC304F3-AB81-4F86-AA94-4DFDCB1EE5B3}" name="2" dataDxfId="155"/>
    <tableColumn id="5" xr3:uid="{C3B5B79F-1E49-4B89-A158-2ADB6EFD9A8F}" name="3" dataDxfId="154"/>
    <tableColumn id="6" xr3:uid="{54848E58-59BC-434A-9165-2398EF66074D}" name="4" dataDxfId="153"/>
    <tableColumn id="7" xr3:uid="{CAA0F456-790C-494C-B54D-186EFB366BA2}" name="5" dataDxfId="152"/>
    <tableColumn id="8" xr3:uid="{3AD11AB3-2D0F-4B2B-BDFF-F6EEBB6C151D}" name="6" dataDxfId="151"/>
    <tableColumn id="9" xr3:uid="{98D97FF3-C412-4BC4-9420-677D02E54B59}" name="7" dataDxfId="150"/>
    <tableColumn id="10" xr3:uid="{57196FD5-81E3-427D-85D1-B9B2DDF43D0E}" name="8" dataDxfId="149"/>
    <tableColumn id="11" xr3:uid="{730C2B93-418D-4AD1-AE5B-8E704F637F58}" name="9" dataDxfId="148"/>
    <tableColumn id="12" xr3:uid="{400E9068-DF13-403F-9235-368B7AD50A4D}" name="10" dataDxfId="147"/>
    <tableColumn id="13" xr3:uid="{C8FF47C5-B4F2-46AA-B335-18BAFAA01181}" name="11" dataDxfId="146"/>
    <tableColumn id="14" xr3:uid="{354697B5-DEE9-4705-A597-ACDE323968B7}" name="12" dataDxfId="145"/>
    <tableColumn id="15" xr3:uid="{59B1E686-A2E5-41C2-AC34-26E2FDBC227D}" name="Total" dataDxfId="14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D43463-A30A-4D0E-881C-9163846A8BE6}" name="flow_1" displayName="flow_1" ref="A1:E9" totalsRowCount="1">
  <autoFilter ref="A1:E8" xr:uid="{43D43463-A30A-4D0E-881C-9163846A8BE6}"/>
  <tableColumns count="5">
    <tableColumn id="1" xr3:uid="{74016DB3-EEA1-4F93-9129-8796118CC7D9}" name="Bank" totalsRowLabel="Total"/>
    <tableColumn id="2" xr3:uid="{DE26068C-E48E-4BA2-A5BA-ECB2B7B9C65B}" name="Product"/>
    <tableColumn id="5" xr3:uid="{D2F86915-672E-46C4-B2C8-4BA1149AD365}" name="Opening balance" totalsRowFunction="sum" dataDxfId="143" totalsRowDxfId="142"/>
    <tableColumn id="6" xr3:uid="{99C45F08-BB23-4613-9ACB-570BDB3E7B85}" name="Operations" totalsRowFunction="sum" dataDxfId="141" totalsRowDxfId="140">
      <calculatedColumnFormula>SUMIFS(Operations[Amount],Operations[Bank],flow_1[[#This Row],[Bank]],Operations[Product],flow_1[[#This Row],[Product]],Operations[Month],$B$11)</calculatedColumnFormula>
    </tableColumn>
    <tableColumn id="7" xr3:uid="{2B7D467D-C4B1-492A-80E0-C710D22A8F51}" name="Closing balance" totalsRowFunction="sum" dataDxfId="139" totalsRowDxfId="138">
      <calculatedColumnFormula>flow_1[[#This Row],[Opening balance]]+flow_1[[#This Row],[Operations]]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069A37-6BAE-40C5-9FA9-11BD6D4E896E}" name="incomes_1" displayName="incomes_1" ref="H1:I8" totalsRowCount="1">
  <autoFilter ref="H1:I7" xr:uid="{3D069A37-6BAE-40C5-9FA9-11BD6D4E896E}"/>
  <tableColumns count="2">
    <tableColumn id="1" xr3:uid="{F934C6C6-1AE9-44FD-95D7-689E88BDCF10}" name="Category" totalsRowLabel="Total"/>
    <tableColumn id="2" xr3:uid="{0C2FD66D-8038-4B65-9FA2-062059BA47AF}" name="Total" totalsRowFunction="sum" dataDxfId="137" totalsRowDxfId="136">
      <calculatedColumnFormula>SUMIFS(Operations[Amount],Operations[Category],incomes_1[[#This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D5BE7C-0B42-4F5B-9A4F-6C286F8AE6BC}" name="expenses_1" displayName="expenses_1" ref="A13:B17" totalsRowCount="1">
  <autoFilter ref="A13:B16" xr:uid="{60D5BE7C-0B42-4F5B-9A4F-6C286F8AE6BC}"/>
  <tableColumns count="2">
    <tableColumn id="1" xr3:uid="{230E8B03-5C58-4042-BA56-461692DEE51C}" name="Type" totalsRowLabel="Total"/>
    <tableColumn id="2" xr3:uid="{EED8396D-7A64-4771-8346-2ACC5257AA90}" name="Total" totalsRowFunction="sum" dataDxfId="135" totalsRowDxfId="134">
      <calculatedColumnFormula>SUMIFS(Operations[Amount],Operations[Type],expenses_1[[#This Row],[Type]],Operations[Month],$B$11)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E19838-7424-49EA-B0BE-A3075D7C352E}" name="balance_1" displayName="balance_1" ref="K1:L11" totalsRowCount="1">
  <autoFilter ref="K1:L10" xr:uid="{5BE19838-7424-49EA-B0BE-A3075D7C352E}"/>
  <tableColumns count="2">
    <tableColumn id="1" xr3:uid="{CB7F8268-2FFC-4A26-B0C6-B978EED117DA}" name="Category" totalsRowLabel="Total"/>
    <tableColumn id="2" xr3:uid="{079474BC-4D0B-4994-ACB3-05584A6E20A6}" name="Total" totalsRowFunction="sum" dataDxfId="133" totalsRowDxfId="132">
      <calculatedColumnFormula>SUMIFS(Operations[Amount],Operations[Category],balance_1[[#This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C4A74A-3D60-49B3-9491-664853D1A930}" name="flow_2" displayName="flow_2" ref="A1:E9" totalsRowCount="1">
  <autoFilter ref="A1:E8" xr:uid="{43D43463-A30A-4D0E-881C-9163846A8BE6}"/>
  <tableColumns count="5">
    <tableColumn id="1" xr3:uid="{9DAE8981-4E00-49DE-AFB6-F15D62EBBC12}" name="Bank" totalsRowLabel="Total"/>
    <tableColumn id="2" xr3:uid="{323AA370-0562-4F4C-AC23-DDCDDF3FE7A4}" name="Product"/>
    <tableColumn id="5" xr3:uid="{091AF7DE-964B-489B-96D2-C5E724952BC9}" name="Opening balance" totalsRowFunction="sum" dataDxfId="131" totalsRowDxfId="130">
      <calculatedColumnFormula array="1">INDIRECT("flow_"&amp;$B$11-1&amp;"[@[Closing balance]]")</calculatedColumnFormula>
    </tableColumn>
    <tableColumn id="6" xr3:uid="{47443461-5A0D-45D6-9CF0-8EFA838AB5FD}" name="Operations" totalsRowFunction="sum" dataDxfId="129" totalsRowDxfId="128">
      <calculatedColumnFormula>SUMIFS(Operations[Amount],Operations[Bank],flow_2[[#This Row],[Bank]],Operations[Product],flow_2[[#This Row],[Product]],Operations[Month],$B$11)</calculatedColumnFormula>
    </tableColumn>
    <tableColumn id="7" xr3:uid="{77DD4442-83D6-4D80-A78E-EDA09E0A9B9D}" name="Closing balance" totalsRowFunction="sum" dataDxfId="127" totalsRowDxfId="126">
      <calculatedColumnFormula>flow_2[[#This Row],[Opening balance]]+flow_2[[#This Row],[Operations]]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A62534-0976-47F5-806D-88F7CB0ACB35}" name="incomes_2" displayName="incomes_2" ref="H1:I8" totalsRowCount="1">
  <autoFilter ref="H1:I7" xr:uid="{3D069A37-6BAE-40C5-9FA9-11BD6D4E896E}"/>
  <tableColumns count="2">
    <tableColumn id="1" xr3:uid="{35BC2DFC-7022-454B-B6C0-10F29BED4D31}" name="Category" totalsRowLabel="Total"/>
    <tableColumn id="2" xr3:uid="{0030A947-5F07-4183-9087-5A66836B5B36}" name="Total" totalsRowFunction="sum" dataDxfId="125" totalsRowDxfId="124">
      <calculatedColumnFormula>SUMIFS(Operations[Amount],Operations[Category],incomes_2[[#This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DB391B-B775-4153-AC2E-875E2B242D79}" name="expenses_2" displayName="expenses_2" ref="A13:B17" totalsRowCount="1">
  <autoFilter ref="A13:B16" xr:uid="{60D5BE7C-0B42-4F5B-9A4F-6C286F8AE6BC}"/>
  <tableColumns count="2">
    <tableColumn id="1" xr3:uid="{ED54CCD5-5944-42C5-925A-6DA784A3F4E6}" name="Type" totalsRowLabel="Total"/>
    <tableColumn id="2" xr3:uid="{0863A2ED-D4A4-4DA5-B064-0B1CA6DE24B3}" name="Total" totalsRowFunction="sum" dataDxfId="123" totalsRowDxfId="122">
      <calculatedColumnFormula>SUMIFS(Operations[Amount],Operations[Type],expenses_2[[#This Row],[Type]],Operations[Month],$B$11)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9BC9EF-25E6-4142-817B-FC7A47C6DC09}" name="balance_2" displayName="balance_2" ref="K1:L11" totalsRowCount="1">
  <autoFilter ref="K1:L10" xr:uid="{5BE19838-7424-49EA-B0BE-A3075D7C352E}"/>
  <tableColumns count="2">
    <tableColumn id="1" xr3:uid="{4FE623F8-BF53-44A7-9706-08436B67281C}" name="Category" totalsRowLabel="Total"/>
    <tableColumn id="2" xr3:uid="{DF79F932-0564-484D-A92F-07F27CE5AA42}" name="Total" totalsRowFunction="sum" dataDxfId="121" totalsRowDxfId="120">
      <calculatedColumnFormula>SUMIFS(Operations[Amount],Operations[Category],balance_2[[#This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C5B21E3-BB0C-41C4-8C62-5A9CADB7964B}" name="flow_3" displayName="flow_3" ref="A1:E9" totalsRowCount="1">
  <autoFilter ref="A1:E8" xr:uid="{43D43463-A30A-4D0E-881C-9163846A8BE6}"/>
  <tableColumns count="5">
    <tableColumn id="1" xr3:uid="{7AC299D7-AD1A-4A7C-A787-7F364D789DC7}" name="Bank" totalsRowLabel="Total"/>
    <tableColumn id="2" xr3:uid="{376BA2D3-2A75-4FFB-931F-954CB0814D9D}" name="Product"/>
    <tableColumn id="5" xr3:uid="{C2782347-DB73-4723-A431-B6E6250F8B7C}" name="Opening balance" totalsRowFunction="sum" dataDxfId="119" totalsRowDxfId="118">
      <calculatedColumnFormula array="1">INDIRECT("flow_"&amp;$B$11-1&amp;"[@[Closing balance]]")</calculatedColumnFormula>
    </tableColumn>
    <tableColumn id="6" xr3:uid="{55A755A5-3660-4FCC-8882-C95107881A83}" name="Operations" totalsRowFunction="sum" dataDxfId="117" totalsRowDxfId="116">
      <calculatedColumnFormula>SUMIFS(Operations[Amount],Operations[Bank],flow_3[[#This Row],[Bank]],Operations[Product],flow_3[[#This Row],[Product]],Operations[Month],$B$11)</calculatedColumnFormula>
    </tableColumn>
    <tableColumn id="7" xr3:uid="{B25A77DA-A7D7-46E2-852E-BCDC8B6DBEF8}" name="Closing balance" totalsRowFunction="sum" dataDxfId="115" totalsRowDxfId="114">
      <calculatedColumnFormula>flow_3[[#This Row],[Opening balance]]+flow_3[[#This Row],[Operations]]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1073A86-412B-401E-8BAD-57CE178AB9F4}" name="incomes_3" displayName="incomes_3" ref="H1:I8" totalsRowCount="1">
  <autoFilter ref="H1:I7" xr:uid="{3D069A37-6BAE-40C5-9FA9-11BD6D4E896E}"/>
  <tableColumns count="2">
    <tableColumn id="1" xr3:uid="{AD426D33-386D-48C9-B3D7-2EA2B920BC95}" name="Category" totalsRowLabel="Total"/>
    <tableColumn id="2" xr3:uid="{A0BE5EA9-24AD-48D6-9212-AA43B9498000}" name="Total" totalsRowFunction="sum" dataDxfId="113" totalsRowDxfId="112">
      <calculatedColumnFormula>SUMIFS(Operations[Amount],Operations[Category],incomes_3[[#This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7076ACD-0FF2-4352-8843-6C387C6E3AFF}" name="expenses_3" displayName="expenses_3" ref="A13:B17" totalsRowCount="1">
  <autoFilter ref="A13:B16" xr:uid="{60D5BE7C-0B42-4F5B-9A4F-6C286F8AE6BC}"/>
  <tableColumns count="2">
    <tableColumn id="1" xr3:uid="{D10A6883-475E-43ED-812C-99A96096BE02}" name="Type" totalsRowLabel="Total"/>
    <tableColumn id="2" xr3:uid="{9BD3FEDB-1270-446D-99B7-086AD47E5942}" name="Total" totalsRowFunction="sum" dataDxfId="111" totalsRowDxfId="110">
      <calculatedColumnFormula>SUMIFS(Operations[Amount],Operations[Type],expenses_3[[#This Row],[Type]],Operations[Month],$B$11)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CE9EE9A-9DB7-45FF-922B-2CC2D1B613B6}" name="balance_3" displayName="balance_3" ref="K1:L11" totalsRowCount="1">
  <autoFilter ref="K1:L10" xr:uid="{5BE19838-7424-49EA-B0BE-A3075D7C352E}"/>
  <tableColumns count="2">
    <tableColumn id="1" xr3:uid="{F397CDF7-EAB4-4F11-9082-FAEC18EE47A1}" name="Category" totalsRowLabel="Total"/>
    <tableColumn id="2" xr3:uid="{712D51BD-F705-44E7-BD42-508937BBFC57}" name="Total" totalsRowFunction="sum" dataDxfId="109" totalsRowDxfId="108">
      <calculatedColumnFormula>SUMIFS(Operations[Amount],Operations[Category],balance_3[[#This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BB9792C-C316-44B9-ABB0-68CA799AABB7}" name="flow_4" displayName="flow_4" ref="A1:E9" totalsRowCount="1">
  <autoFilter ref="A1:E8" xr:uid="{43D43463-A30A-4D0E-881C-9163846A8BE6}"/>
  <tableColumns count="5">
    <tableColumn id="1" xr3:uid="{DED634D3-1871-48D3-832A-DA932FC25887}" name="Bank" totalsRowLabel="Total"/>
    <tableColumn id="2" xr3:uid="{73C570F5-155D-4C94-978D-3EFC4B4ABE61}" name="Product"/>
    <tableColumn id="5" xr3:uid="{AAEFA1F7-65E4-4547-95DD-4B8B44AC58A8}" name="Opening balance" totalsRowFunction="sum" dataDxfId="107" totalsRowDxfId="106">
      <calculatedColumnFormula array="1">INDIRECT("flow_"&amp;$B$11-1&amp;"[@[Closing balance]]")</calculatedColumnFormula>
    </tableColumn>
    <tableColumn id="6" xr3:uid="{56F4B2DE-EF24-476B-BFFD-CE4DD26CA26E}" name="Operations" totalsRowFunction="sum" dataDxfId="105" totalsRowDxfId="104">
      <calculatedColumnFormula>SUMIFS(Operations[Amount],Operations[Bank],flow_4[[#This Row],[Bank]],Operations[Product],flow_4[[#This Row],[Product]],Operations[Month],$B$11)</calculatedColumnFormula>
    </tableColumn>
    <tableColumn id="7" xr3:uid="{30EDFB7A-5B3B-4C19-A98E-B464AB918614}" name="Closing balance" totalsRowFunction="sum" dataDxfId="103" totalsRowDxfId="102">
      <calculatedColumnFormula>flow_4[[#This Row],[Opening balance]]+flow_4[[#This Row],[Operations]]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A0743DD-3C11-4501-B2D8-DB234DEFF8DF}" name="incomes_4" displayName="incomes_4" ref="H1:I8" totalsRowCount="1">
  <autoFilter ref="H1:I7" xr:uid="{3D069A37-6BAE-40C5-9FA9-11BD6D4E896E}"/>
  <tableColumns count="2">
    <tableColumn id="1" xr3:uid="{29B6E134-213D-4C4E-A156-484BB57B86B2}" name="Category" totalsRowLabel="Total"/>
    <tableColumn id="2" xr3:uid="{107460EC-75E6-4850-B641-9AD3C7DFA7EC}" name="Total" totalsRowFunction="sum" dataDxfId="101" totalsRowDxfId="100">
      <calculatedColumnFormula>SUMIFS(Operations[Amount],Operations[Category],incomes_4[[#This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1E46FB5-92C1-408D-83CA-78E017AB8BF0}" name="expenses_4" displayName="expenses_4" ref="A13:B17" totalsRowCount="1">
  <autoFilter ref="A13:B16" xr:uid="{60D5BE7C-0B42-4F5B-9A4F-6C286F8AE6BC}"/>
  <tableColumns count="2">
    <tableColumn id="1" xr3:uid="{09EB5FBD-AA69-4C24-AA88-E11D5CE50B5C}" name="Type" totalsRowLabel="Total"/>
    <tableColumn id="2" xr3:uid="{CBF647CF-6D9B-4895-A89F-825749AA8322}" name="Total" totalsRowFunction="sum" dataDxfId="99" totalsRowDxfId="98">
      <calculatedColumnFormula>SUMIFS(Operations[Amount],Operations[Type],expenses_4[[#This Row],[Type]],Operations[Month],$B$11)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50AD497-F571-453B-B471-9C9CD4C8F310}" name="balance_4" displayName="balance_4" ref="K1:L11" totalsRowCount="1">
  <autoFilter ref="K1:L10" xr:uid="{5BE19838-7424-49EA-B0BE-A3075D7C352E}"/>
  <tableColumns count="2">
    <tableColumn id="1" xr3:uid="{90EA71E4-E6BF-4C3F-806A-7570389AD21F}" name="Category" totalsRowLabel="Total"/>
    <tableColumn id="2" xr3:uid="{6F3D974B-25B2-478B-9C1A-61AEBB668F48}" name="Total" totalsRowFunction="sum" dataDxfId="97" totalsRowDxfId="96">
      <calculatedColumnFormula>SUMIFS(Operations[Amount],Operations[Category],balance_4[[#This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03028CE-43B0-448C-AEC6-2B2B03BE4252}" name="flow_5" displayName="flow_5" ref="A1:E9" totalsRowCount="1">
  <autoFilter ref="A1:E8" xr:uid="{43D43463-A30A-4D0E-881C-9163846A8BE6}"/>
  <tableColumns count="5">
    <tableColumn id="1" xr3:uid="{BD3029B3-6FB2-4F5A-A8A8-43F1089411D3}" name="Bank" totalsRowLabel="Total"/>
    <tableColumn id="2" xr3:uid="{79C91C42-B25B-460F-BD97-286F53253A23}" name="Product"/>
    <tableColumn id="5" xr3:uid="{7AF1BF7F-209E-4C0A-B733-457B720F50BE}" name="Opening balance" totalsRowFunction="sum" dataDxfId="95" totalsRowDxfId="94">
      <calculatedColumnFormula array="1">INDIRECT("flow_"&amp;$B$11-1&amp;"[@[Closing balance]]")</calculatedColumnFormula>
    </tableColumn>
    <tableColumn id="6" xr3:uid="{548182AA-2BEA-4C2D-B577-4370DE0C3AF6}" name="Operations" totalsRowFunction="sum" dataDxfId="93" totalsRowDxfId="92">
      <calculatedColumnFormula>SUMIFS(Operations[Amount],Operations[Bank],flow_5[[#This Row],[Bank]],Operations[Product],flow_5[[#This Row],[Product]],Operations[Month],$B$11)</calculatedColumnFormula>
    </tableColumn>
    <tableColumn id="7" xr3:uid="{9AA9030A-620A-4C6A-AAC4-B4D521010D6B}" name="Closing balance" totalsRowFunction="sum" dataDxfId="91" totalsRowDxfId="90">
      <calculatedColumnFormula>flow_5[[#This Row],[Opening balance]]+flow_5[[#This Row],[Operations]]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02B2412-617B-4723-969A-511F99BDF237}" name="incomes_5" displayName="incomes_5" ref="H1:I8" totalsRowCount="1">
  <autoFilter ref="H1:I7" xr:uid="{3D069A37-6BAE-40C5-9FA9-11BD6D4E896E}"/>
  <tableColumns count="2">
    <tableColumn id="1" xr3:uid="{B96A0168-0215-433F-883C-E56949ABE18F}" name="Category" totalsRowLabel="Total"/>
    <tableColumn id="2" xr3:uid="{C44B2450-4838-4B20-A667-1186133C0632}" name="Total" totalsRowFunction="sum" dataDxfId="89" totalsRowDxfId="88">
      <calculatedColumnFormula>SUMIFS(Operations[Amount],Operations[Category],incomes_5[[#This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7254E76-3E84-41A4-BD17-2A08D3AB5DFC}" name="expenses_5" displayName="expenses_5" ref="A13:B17" totalsRowCount="1">
  <autoFilter ref="A13:B16" xr:uid="{60D5BE7C-0B42-4F5B-9A4F-6C286F8AE6BC}"/>
  <tableColumns count="2">
    <tableColumn id="1" xr3:uid="{7A260AA7-D015-44CE-A781-669C00D17EA2}" name="Type" totalsRowLabel="Total"/>
    <tableColumn id="2" xr3:uid="{D555F9D3-F7C9-41A4-BA03-4720A743A40E}" name="Total" totalsRowFunction="sum" dataDxfId="87" totalsRowDxfId="86">
      <calculatedColumnFormula>SUMIFS(Operations[Amount],Operations[Type],expenses_5[[#This Row],[Type]],Operations[Month],$B$11)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576DE5E-F2A1-4972-81EE-37AF75BAF3EB}" name="balance_5" displayName="balance_5" ref="K1:L11" totalsRowCount="1">
  <autoFilter ref="K1:L10" xr:uid="{5BE19838-7424-49EA-B0BE-A3075D7C352E}"/>
  <tableColumns count="2">
    <tableColumn id="1" xr3:uid="{3C91BD01-DFF6-4041-96CB-24AA1858C974}" name="Category" totalsRowLabel="Total"/>
    <tableColumn id="2" xr3:uid="{70D98575-2EFD-4B4A-AA84-E6AEA769E959}" name="Total" totalsRowFunction="sum" dataDxfId="85" totalsRowDxfId="84">
      <calculatedColumnFormula>SUMIFS(Operations[Amount],Operations[Category],balance_5[[#This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2FDE159-4252-4068-AA27-E389961BD707}" name="flow_6" displayName="flow_6" ref="A1:E9" totalsRowCount="1">
  <autoFilter ref="A1:E8" xr:uid="{43D43463-A30A-4D0E-881C-9163846A8BE6}"/>
  <tableColumns count="5">
    <tableColumn id="1" xr3:uid="{0C62792D-95D8-48F5-A35B-0CF9067CE73E}" name="Bank" totalsRowLabel="Total"/>
    <tableColumn id="2" xr3:uid="{41303055-C3E2-45F2-BAD3-08CBFDBB998B}" name="Product"/>
    <tableColumn id="5" xr3:uid="{BBC9C771-7E75-4241-A203-165DCB7CA637}" name="Opening balance" totalsRowFunction="sum" dataDxfId="83" totalsRowDxfId="82">
      <calculatedColumnFormula array="1">INDIRECT("flow_"&amp;$B$11-1&amp;"[@[Closing balance]]")</calculatedColumnFormula>
    </tableColumn>
    <tableColumn id="6" xr3:uid="{4F2C82A6-D122-4383-8438-9133437E6B71}" name="Operations" totalsRowFunction="sum" dataDxfId="81" totalsRowDxfId="80">
      <calculatedColumnFormula>SUMIFS(Operations[Amount],Operations[Bank],flow_6[[#This Row],[Bank]],Operations[Product],flow_6[[#This Row],[Product]],Operations[Month],$B$11)</calculatedColumnFormula>
    </tableColumn>
    <tableColumn id="7" xr3:uid="{9D9AF2C1-4913-4161-841C-98CAE678B8E7}" name="Closing balance" totalsRowFunction="sum" dataDxfId="79" totalsRowDxfId="78">
      <calculatedColumnFormula>flow_6[[#This Row],[Opening balance]]+flow_6[[#This Row],[Operations]]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FF0E0AB-0A69-4A54-9AE8-B7EA9C5FB758}" name="incomes_6" displayName="incomes_6" ref="H1:I8" totalsRowCount="1">
  <autoFilter ref="H1:I7" xr:uid="{3D069A37-6BAE-40C5-9FA9-11BD6D4E896E}"/>
  <tableColumns count="2">
    <tableColumn id="1" xr3:uid="{FDBA9012-5F35-4681-B55B-E2C7B54DFC74}" name="Category" totalsRowLabel="Total"/>
    <tableColumn id="2" xr3:uid="{1CA6AEF4-ACEC-4FB1-B1C9-8F213AB15B32}" name="Total" totalsRowFunction="sum" dataDxfId="77" totalsRowDxfId="76">
      <calculatedColumnFormula>SUMIFS(Operations[Amount],Operations[Category],incomes_6[[#This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A43FB25-C024-4385-8749-AE583C225B46}" name="expenses_6" displayName="expenses_6" ref="A13:B17" totalsRowCount="1">
  <autoFilter ref="A13:B16" xr:uid="{60D5BE7C-0B42-4F5B-9A4F-6C286F8AE6BC}"/>
  <tableColumns count="2">
    <tableColumn id="1" xr3:uid="{73336F6F-FC9D-4A9B-AD3A-9BC8E0C84751}" name="Type" totalsRowLabel="Total"/>
    <tableColumn id="2" xr3:uid="{80426A2A-D797-45DD-A300-8F2252D13D8D}" name="Total" totalsRowFunction="sum" dataDxfId="75" totalsRowDxfId="74">
      <calculatedColumnFormula>SUMIFS(Operations[Amount],Operations[Type],expenses_6[[#This Row],[Type]],Operations[Month],$B$11)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86ED230-5746-4A54-9547-76A675600FD8}" name="balance_6" displayName="balance_6" ref="K1:L11" totalsRowCount="1">
  <autoFilter ref="K1:L10" xr:uid="{5BE19838-7424-49EA-B0BE-A3075D7C352E}"/>
  <tableColumns count="2">
    <tableColumn id="1" xr3:uid="{7B2B8408-E4CD-454A-AB73-788F4DB018A4}" name="Category" totalsRowLabel="Total"/>
    <tableColumn id="2" xr3:uid="{B62DF741-3F1B-447D-A8D9-D6A21903A5AB}" name="Total" totalsRowFunction="sum" dataDxfId="73" totalsRowDxfId="72">
      <calculatedColumnFormula>SUMIFS(Operations[Amount],Operations[Category],balance_6[[#This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094848B-C677-4725-B0A5-FC0F3983AEF1}" name="flow_7" displayName="flow_7" ref="A1:E9" totalsRowCount="1">
  <autoFilter ref="A1:E8" xr:uid="{43D43463-A30A-4D0E-881C-9163846A8BE6}"/>
  <tableColumns count="5">
    <tableColumn id="1" xr3:uid="{A3D1DD3D-CD26-4DA4-A727-BE07CEB858AE}" name="Bank" totalsRowLabel="Total"/>
    <tableColumn id="2" xr3:uid="{CFC1E5B3-0FE4-4CAC-AD58-B8684DDA160B}" name="Product"/>
    <tableColumn id="5" xr3:uid="{E55C7034-89D2-4E46-B6FB-D0CD2F9F488F}" name="Opening balance" totalsRowFunction="sum" dataDxfId="71" totalsRowDxfId="70">
      <calculatedColumnFormula array="1">INDIRECT("flow_"&amp;$B$11-1&amp;"[@[Closing balance]]")</calculatedColumnFormula>
    </tableColumn>
    <tableColumn id="6" xr3:uid="{4C0553C2-DA70-4D80-9028-B7FCE8F4FA7A}" name="Operations" totalsRowFunction="sum" dataDxfId="69" totalsRowDxfId="68">
      <calculatedColumnFormula>SUMIFS(Operations[Amount],Operations[Bank],flow_7[[#This Row],[Bank]],Operations[Product],flow_7[[#This Row],[Product]],Operations[Month],$B$11)</calculatedColumnFormula>
    </tableColumn>
    <tableColumn id="7" xr3:uid="{6654B8EC-70DC-43ED-90AB-720EA485B8B6}" name="Closing balance" totalsRowFunction="sum" dataDxfId="67" totalsRowDxfId="66">
      <calculatedColumnFormula>flow_7[[#This Row],[Opening balance]]+flow_7[[#This Row],[Operations]]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99E5C4C-37CB-41E7-8701-BC0B21503D6F}" name="incomes_7" displayName="incomes_7" ref="H1:I8" totalsRowCount="1">
  <autoFilter ref="H1:I7" xr:uid="{3D069A37-6BAE-40C5-9FA9-11BD6D4E896E}"/>
  <tableColumns count="2">
    <tableColumn id="1" xr3:uid="{6239ED0F-2152-4DEC-BD7A-CD0D89BC3724}" name="Category" totalsRowLabel="Total"/>
    <tableColumn id="2" xr3:uid="{019E3CB2-38E0-4A7A-A0BF-78128A722579}" name="Total" totalsRowFunction="sum" dataDxfId="65" totalsRowDxfId="64">
      <calculatedColumnFormula>SUMIFS(Operations[Amount],Operations[Category],incomes_7[[#This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3D8E71E-8461-43C5-84B4-1B4AF6DC2A90}" name="expenses_7" displayName="expenses_7" ref="A13:B17" totalsRowCount="1">
  <autoFilter ref="A13:B16" xr:uid="{60D5BE7C-0B42-4F5B-9A4F-6C286F8AE6BC}"/>
  <tableColumns count="2">
    <tableColumn id="1" xr3:uid="{47A95CD5-F985-43D9-BD3A-7965A93CFC5F}" name="Type" totalsRowLabel="Total"/>
    <tableColumn id="2" xr3:uid="{23142110-0803-4322-A3F3-674186C3296E}" name="Total" totalsRowFunction="sum" dataDxfId="63" totalsRowDxfId="62">
      <calculatedColumnFormula>SUMIFS(Operations[Amount],Operations[Type],expenses_7[[#This Row],[Type]],Operations[Month],$B$11)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8EA35D4-F8B8-45F6-850D-EBBC86D2F686}" name="balance_7" displayName="balance_7" ref="K1:L11" totalsRowCount="1">
  <autoFilter ref="K1:L10" xr:uid="{5BE19838-7424-49EA-B0BE-A3075D7C352E}"/>
  <tableColumns count="2">
    <tableColumn id="1" xr3:uid="{3626A949-7E78-4794-8A30-C1F3C19D659C}" name="Category" totalsRowLabel="Total"/>
    <tableColumn id="2" xr3:uid="{4FD0E089-6E04-4B01-BA04-FB5D31AFA95E}" name="Total" totalsRowFunction="sum" dataDxfId="61" totalsRowDxfId="60">
      <calculatedColumnFormula>SUMIFS(Operations[Amount],Operations[Category],balance_7[[#This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3574BD0-FB85-479B-BA97-5AC6B20B182C}" name="flow_8" displayName="flow_8" ref="A1:E9" totalsRowCount="1">
  <autoFilter ref="A1:E8" xr:uid="{43D43463-A30A-4D0E-881C-9163846A8BE6}"/>
  <tableColumns count="5">
    <tableColumn id="1" xr3:uid="{894D9343-9ECD-4840-AEB7-FC687B575417}" name="Bank" totalsRowLabel="Total"/>
    <tableColumn id="2" xr3:uid="{83AB5182-CC38-4DA6-8167-8E088F9EB616}" name="Product"/>
    <tableColumn id="5" xr3:uid="{A858E049-C3EE-469F-AF85-B9670BA9E578}" name="Opening balance" totalsRowFunction="sum" dataDxfId="59" totalsRowDxfId="58">
      <calculatedColumnFormula array="1">INDIRECT("flow_"&amp;$B$11-1&amp;"[@[Closing balance]]")</calculatedColumnFormula>
    </tableColumn>
    <tableColumn id="6" xr3:uid="{1618E436-4AEE-4CA4-9C80-BD2C4AE30315}" name="Operations" totalsRowFunction="sum" dataDxfId="57" totalsRowDxfId="56">
      <calculatedColumnFormula>SUMIFS(Operations[Amount],Operations[Bank],flow_8[[#This Row],[Bank]],Operations[Product],flow_8[[#This Row],[Product]],Operations[Month],$B$11)</calculatedColumnFormula>
    </tableColumn>
    <tableColumn id="7" xr3:uid="{9511B362-6DA0-41DC-BE9A-0FC95DD01914}" name="Closing balance" totalsRowFunction="sum" dataDxfId="55" totalsRowDxfId="54">
      <calculatedColumnFormula>flow_8[[#This Row],[Opening balance]]+flow_8[[#This Row],[Operations]]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A3EF3CE-22E5-4C44-AD87-C71D6061CE66}" name="incomes_8" displayName="incomes_8" ref="H1:I8" totalsRowCount="1">
  <autoFilter ref="H1:I7" xr:uid="{3D069A37-6BAE-40C5-9FA9-11BD6D4E896E}"/>
  <tableColumns count="2">
    <tableColumn id="1" xr3:uid="{23A95E6E-068B-4232-8C7F-AA804304E05C}" name="Category" totalsRowLabel="Total"/>
    <tableColumn id="2" xr3:uid="{2548831D-FFBF-44EA-A393-B6A3F7D8C2F8}" name="Total" totalsRowFunction="sum" dataDxfId="53" totalsRowDxfId="52">
      <calculatedColumnFormula>SUMIFS(Operations[Amount],Operations[Category],incomes_8[[#This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EF649707-1B13-4F30-8BDD-09859F1172D1}" name="expenses_8" displayName="expenses_8" ref="A13:B17" totalsRowCount="1">
  <autoFilter ref="A13:B16" xr:uid="{60D5BE7C-0B42-4F5B-9A4F-6C286F8AE6BC}"/>
  <tableColumns count="2">
    <tableColumn id="1" xr3:uid="{16FC8C15-E907-4A7C-BC7B-BB13BD1B5205}" name="Type" totalsRowLabel="Total"/>
    <tableColumn id="2" xr3:uid="{57482979-E4CD-45A0-8227-504C642A7486}" name="Total" totalsRowFunction="sum" dataDxfId="51" totalsRowDxfId="50">
      <calculatedColumnFormula>SUMIFS(Operations[Amount],Operations[Type],expenses_8[[#This Row],[Type]],Operations[Month],$B$11)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357FBEE-1CDF-4E53-AACA-E2675C97D7E8}" name="balance_8" displayName="balance_8" ref="K1:L11" totalsRowCount="1">
  <autoFilter ref="K1:L10" xr:uid="{5BE19838-7424-49EA-B0BE-A3075D7C352E}"/>
  <tableColumns count="2">
    <tableColumn id="1" xr3:uid="{B2B0494B-2CD8-44B7-9B3A-01D2134B996F}" name="Category" totalsRowLabel="Total"/>
    <tableColumn id="2" xr3:uid="{5DD173AC-E34B-4C8C-809D-85435DCFFA90}" name="Total" totalsRowFunction="sum" dataDxfId="49" totalsRowDxfId="48">
      <calculatedColumnFormula>SUMIFS(Operations[Amount],Operations[Category],balance_8[[#This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2D6832A-89EE-4033-B0E9-3980AF1ED20E}" name="flow_9" displayName="flow_9" ref="A1:E9" totalsRowCount="1">
  <autoFilter ref="A1:E8" xr:uid="{43D43463-A30A-4D0E-881C-9163846A8BE6}"/>
  <tableColumns count="5">
    <tableColumn id="1" xr3:uid="{EDD97C5F-4D5F-47FB-BA67-DCFBBBC9F735}" name="Bank" totalsRowLabel="Total"/>
    <tableColumn id="2" xr3:uid="{6FD1AD06-C0AD-4B11-A14F-A095D2C86D22}" name="Product"/>
    <tableColumn id="5" xr3:uid="{0BE4327D-B662-46CE-B6DD-62AC880FD7BC}" name="Opening balance" totalsRowFunction="sum" dataDxfId="47" totalsRowDxfId="46">
      <calculatedColumnFormula array="1">INDIRECT("flow_"&amp;$B$11-1&amp;"[@[Closing balance]]")</calculatedColumnFormula>
    </tableColumn>
    <tableColumn id="6" xr3:uid="{D1A3596B-EA85-4D11-AF8E-C35424A7D5D0}" name="Operations" totalsRowFunction="sum" dataDxfId="45" totalsRowDxfId="44">
      <calculatedColumnFormula>SUMIFS(Operations[Amount],Operations[Bank],flow_9[[#This Row],[Bank]],Operations[Product],flow_9[[#This Row],[Product]],Operations[Month],$B$11)</calculatedColumnFormula>
    </tableColumn>
    <tableColumn id="7" xr3:uid="{184046A4-410B-4917-ADA6-6617E8B499BE}" name="Closing balance" totalsRowFunction="sum" dataDxfId="43" totalsRowDxfId="42">
      <calculatedColumnFormula>flow_9[[#This Row],[Opening balance]]+flow_9[[#This Row],[Operations]]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36D176B-F85B-497E-BED3-E53FC21A9E81}" name="incomes_9" displayName="incomes_9" ref="H1:I8" totalsRowCount="1">
  <autoFilter ref="H1:I7" xr:uid="{3D069A37-6BAE-40C5-9FA9-11BD6D4E896E}"/>
  <tableColumns count="2">
    <tableColumn id="1" xr3:uid="{243BDA79-B57D-4D05-B307-78CAD90B6710}" name="Category" totalsRowLabel="Total"/>
    <tableColumn id="2" xr3:uid="{54333505-C467-4C7A-BDBE-BC8A3878EE77}" name="Total" totalsRowFunction="sum" dataDxfId="41" totalsRowDxfId="40">
      <calculatedColumnFormula>SUMIFS(Operations[Amount],Operations[Category],incomes_9[[#This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FF32A8E-CC6A-494F-8F31-0984F19FD95D}" name="expenses_9" displayName="expenses_9" ref="A13:B17" totalsRowCount="1">
  <autoFilter ref="A13:B16" xr:uid="{60D5BE7C-0B42-4F5B-9A4F-6C286F8AE6BC}"/>
  <tableColumns count="2">
    <tableColumn id="1" xr3:uid="{450183DE-E72F-4660-AADB-AF271225EE81}" name="Type" totalsRowLabel="Total"/>
    <tableColumn id="2" xr3:uid="{DA23F2B5-E2BF-4EE1-A8EE-4972FCC7B975}" name="Total" totalsRowFunction="sum" dataDxfId="39" totalsRowDxfId="38">
      <calculatedColumnFormula>SUMIFS(Operations[Amount],Operations[Type],expenses_9[[#This Row],[Type]],Operations[Month],$B$11)</calculatedColumnFormula>
    </tableColumn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9372CFD-5BBD-4E49-816E-E54B8E2A03C2}" name="balance_9" displayName="balance_9" ref="K1:L11" totalsRowCount="1">
  <autoFilter ref="K1:L10" xr:uid="{5BE19838-7424-49EA-B0BE-A3075D7C352E}"/>
  <tableColumns count="2">
    <tableColumn id="1" xr3:uid="{2B4C8F01-3812-40F8-8FC3-B6EAC26EE183}" name="Category" totalsRowLabel="Total"/>
    <tableColumn id="2" xr3:uid="{B2B907FB-4318-4234-BE5E-FF6CE95183DD}" name="Total" totalsRowFunction="sum" dataDxfId="37" totalsRowDxfId="36">
      <calculatedColumnFormula>SUMIFS(Operations[Amount],Operations[Category],balance_9[[#This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11D8A2-4925-44E7-A2E4-13D5C5BF828D}" name="flow_10" displayName="flow_10" ref="A1:E9" totalsRowCount="1">
  <autoFilter ref="A1:E8" xr:uid="{43D43463-A30A-4D0E-881C-9163846A8BE6}"/>
  <tableColumns count="5">
    <tableColumn id="1" xr3:uid="{85D56195-C876-418C-AFEE-A2D268EEE63B}" name="Bank" totalsRowLabel="Total"/>
    <tableColumn id="2" xr3:uid="{3698F240-0307-45D9-AC7F-CC772AB04B48}" name="Product"/>
    <tableColumn id="5" xr3:uid="{0B4B4412-3D72-4E13-9886-7C2CDD33734C}" name="Opening balance" totalsRowFunction="sum" dataDxfId="35" totalsRowDxfId="34">
      <calculatedColumnFormula array="1">INDIRECT("flow_"&amp;$B$11-1&amp;"[@[Closing balance]]")</calculatedColumnFormula>
    </tableColumn>
    <tableColumn id="6" xr3:uid="{83C1402A-95B7-4A96-A01E-AC88B4369CBA}" name="Operations" totalsRowFunction="sum" dataDxfId="33" totalsRowDxfId="32">
      <calculatedColumnFormula>SUMIFS(Operations[Amount],Operations[Bank],flow_10[[#This Row],[Bank]],Operations[Product],flow_10[[#This Row],[Product]],Operations[Month],$B$11)</calculatedColumnFormula>
    </tableColumn>
    <tableColumn id="7" xr3:uid="{2F901D83-E364-4627-B6BD-FFB73FF219B4}" name="Closing balance" totalsRowFunction="sum" dataDxfId="31" totalsRowDxfId="30">
      <calculatedColumnFormula>flow_10[[#This Row],[Opening balance]]+flow_10[[#This Row],[Operations]]</calculatedColumnFormula>
    </tableColumn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46C9648-3841-4394-A39A-4649E7B758AA}" name="incomes_10" displayName="incomes_10" ref="H1:I8" totalsRowCount="1">
  <autoFilter ref="H1:I7" xr:uid="{3D069A37-6BAE-40C5-9FA9-11BD6D4E896E}"/>
  <tableColumns count="2">
    <tableColumn id="1" xr3:uid="{BA47ECFD-8AFA-4018-8779-AFF9A19CDEF4}" name="Category" totalsRowLabel="Total"/>
    <tableColumn id="2" xr3:uid="{44CA7071-A223-4325-9536-251C2E4461AD}" name="Total" totalsRowFunction="sum" dataDxfId="29" totalsRowDxfId="28">
      <calculatedColumnFormula>SUMIFS(Operations[Amount],Operations[Category],incomes_10[[#This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9D35F1-30FB-40F0-B3FE-41BCC5703599}" name="expenses_10" displayName="expenses_10" ref="A13:B17" totalsRowCount="1">
  <autoFilter ref="A13:B16" xr:uid="{60D5BE7C-0B42-4F5B-9A4F-6C286F8AE6BC}"/>
  <tableColumns count="2">
    <tableColumn id="1" xr3:uid="{CDAF3C25-8B72-47A1-B4B4-54FB41B4BACE}" name="Type" totalsRowLabel="Total"/>
    <tableColumn id="2" xr3:uid="{CEC0DA7C-6B32-47A7-BC2D-5BA5941E4EC4}" name="Total" totalsRowFunction="sum" dataDxfId="27" totalsRowDxfId="26">
      <calculatedColumnFormula>SUMIFS(Operations[Amount],Operations[Type],expenses_10[[#This Row],[Type]],Operations[Month],$B$11)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24437B5-EA7C-408F-92A0-EE01F4F3ECDE}" name="balance_10" displayName="balance_10" ref="K1:L11" totalsRowCount="1">
  <autoFilter ref="K1:L10" xr:uid="{5BE19838-7424-49EA-B0BE-A3075D7C352E}"/>
  <tableColumns count="2">
    <tableColumn id="1" xr3:uid="{FCD4A724-FF1D-4512-A518-367B4026FB51}" name="Category" totalsRowLabel="Total"/>
    <tableColumn id="2" xr3:uid="{71D542D7-5AC7-48E3-859A-8998F4096EB3}" name="Total" totalsRowFunction="sum" dataDxfId="25" totalsRowDxfId="24">
      <calculatedColumnFormula>SUMIFS(Operations[Amount],Operations[Category],balance_10[[#This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2EE4073-A93B-42CD-91AA-51B54F0D01AC}" name="flow_11" displayName="flow_11" ref="A1:E9" totalsRowCount="1">
  <autoFilter ref="A1:E8" xr:uid="{43D43463-A30A-4D0E-881C-9163846A8BE6}"/>
  <tableColumns count="5">
    <tableColumn id="1" xr3:uid="{C5FF806B-37B6-4E96-A7F4-B62E4976B547}" name="Bank" totalsRowLabel="Total"/>
    <tableColumn id="2" xr3:uid="{3BA21A00-E5F0-45AD-BDB2-53EC63016F70}" name="Product"/>
    <tableColumn id="5" xr3:uid="{F742F835-C4F9-4A30-B1D0-1040B13227A2}" name="Opening balance" totalsRowFunction="sum" dataDxfId="23" totalsRowDxfId="22">
      <calculatedColumnFormula array="1">INDIRECT("flow_"&amp;$B$11-1&amp;"[@[Closing balance]]")</calculatedColumnFormula>
    </tableColumn>
    <tableColumn id="6" xr3:uid="{F25D0C1B-F30D-4CD1-8B95-F9A224BD2380}" name="Operations" totalsRowFunction="sum" dataDxfId="21" totalsRowDxfId="20">
      <calculatedColumnFormula>SUMIFS(Operations[Amount],Operations[Bank],flow_11[[#This Row],[Bank]],Operations[Product],flow_11[[#This Row],[Product]],Operations[Month],$B$11)</calculatedColumnFormula>
    </tableColumn>
    <tableColumn id="7" xr3:uid="{981DEC10-9E82-46A6-BFE6-6B8665096CF4}" name="Closing balance" totalsRowFunction="sum" dataDxfId="19" totalsRowDxfId="18">
      <calculatedColumnFormula>flow_11[[#This Row],[Opening balance]]+flow_11[[#This Row],[Operations]]</calculatedColumnFormula>
    </tableColumn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B2711C0-71B0-4926-BC50-839FC7A6E3C4}" name="incomes_11" displayName="incomes_11" ref="H1:I8" totalsRowCount="1">
  <autoFilter ref="H1:I7" xr:uid="{3D069A37-6BAE-40C5-9FA9-11BD6D4E896E}"/>
  <tableColumns count="2">
    <tableColumn id="1" xr3:uid="{CB931075-4FD9-4674-BF9B-6CEAF01D8C83}" name="Category" totalsRowLabel="Total"/>
    <tableColumn id="2" xr3:uid="{F938A67A-7B0C-4916-8F74-C06F0C2B7BFA}" name="Total" totalsRowFunction="sum" dataDxfId="17" totalsRowDxfId="16">
      <calculatedColumnFormula>SUMIFS(Operations[Amount],Operations[Category],incomes_11[[#This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49286F9-46B5-490C-8782-637D98161749}" name="expenses_11" displayName="expenses_11" ref="A13:B17" totalsRowCount="1">
  <autoFilter ref="A13:B16" xr:uid="{60D5BE7C-0B42-4F5B-9A4F-6C286F8AE6BC}"/>
  <tableColumns count="2">
    <tableColumn id="1" xr3:uid="{BDA2A229-06D2-42EE-973E-F5121E545C23}" name="Type" totalsRowLabel="Total"/>
    <tableColumn id="2" xr3:uid="{AA96E4DB-A8F1-40A9-B694-19A9A0A997E7}" name="Total" totalsRowFunction="sum" dataDxfId="15" totalsRowDxfId="14">
      <calculatedColumnFormula>SUMIFS(Operations[Amount],Operations[Type],expenses_11[[#This Row],[Type]],Operations[Month],$B$11)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63836F5C-DCD1-4131-80DC-EE99F010F6E1}" name="balance_11" displayName="balance_11" ref="K1:L11" totalsRowCount="1">
  <autoFilter ref="K1:L10" xr:uid="{5BE19838-7424-49EA-B0BE-A3075D7C352E}"/>
  <tableColumns count="2">
    <tableColumn id="1" xr3:uid="{D0D120B9-B6FC-4A36-8C7F-9750C89A01EF}" name="Category" totalsRowLabel="Total"/>
    <tableColumn id="2" xr3:uid="{7CE2E960-36E7-4BF5-BBA9-1B28B149ED4B}" name="Total" totalsRowFunction="sum" dataDxfId="13" totalsRowDxfId="12">
      <calculatedColumnFormula>SUMIFS(Operations[Amount],Operations[Category],balance_11[[#This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6A0C23A-A057-4E6D-AA07-F63658522955}" name="flow_12" displayName="flow_12" ref="A1:E9" totalsRowCount="1">
  <autoFilter ref="A1:E8" xr:uid="{43D43463-A30A-4D0E-881C-9163846A8BE6}"/>
  <tableColumns count="5">
    <tableColumn id="1" xr3:uid="{4978B778-E585-4C17-975F-C60915EB3568}" name="Bank" totalsRowLabel="Total"/>
    <tableColumn id="2" xr3:uid="{1AE3E6CB-44BD-4915-A193-27ABF9E7804A}" name="Product"/>
    <tableColumn id="5" xr3:uid="{A16F9A3E-9A12-4A19-A260-2570FEE3DF09}" name="Opening balance" totalsRowFunction="sum" dataDxfId="11" totalsRowDxfId="10">
      <calculatedColumnFormula array="1">INDIRECT("flow_"&amp;$B$11-1&amp;"[@[Closing balance]]")</calculatedColumnFormula>
    </tableColumn>
    <tableColumn id="6" xr3:uid="{E7960314-D0E8-4D37-AB04-B1E974A905F9}" name="Operations" totalsRowFunction="sum" dataDxfId="9" totalsRowDxfId="8">
      <calculatedColumnFormula>SUMIFS(Operations[Amount],Operations[Bank],flow_12[[#This Row],[Bank]],Operations[Product],flow_12[[#This Row],[Product]],Operations[Month],$B$11)</calculatedColumnFormula>
    </tableColumn>
    <tableColumn id="7" xr3:uid="{5C88A433-4A24-4D97-BE08-066815645E7C}" name="Closing balance" totalsRowFunction="sum" dataDxfId="7" totalsRowDxfId="6">
      <calculatedColumnFormula>flow_12[[#This Row],[Opening balance]]+flow_12[[#This Row],[Operations]]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F7E4C8E-8E2C-4F2A-BEC6-5B0A55578772}" name="incomes_12" displayName="incomes_12" ref="H1:I8" totalsRowCount="1">
  <autoFilter ref="H1:I7" xr:uid="{3D069A37-6BAE-40C5-9FA9-11BD6D4E896E}"/>
  <tableColumns count="2">
    <tableColumn id="1" xr3:uid="{39094CB3-8ED8-4438-9870-DE2652C71E0A}" name="Category" totalsRowLabel="Total"/>
    <tableColumn id="2" xr3:uid="{069F885D-738F-4BA0-9041-4F0CD8B2F26C}" name="Total" totalsRowFunction="sum" dataDxfId="5" totalsRowDxfId="4">
      <calculatedColumnFormula>SUMIFS(Operations[Amount],Operations[Category],incomes_12[[#This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F06AAC-9920-4EF1-81B0-434C023A7FF9}" name="expenses_12" displayName="expenses_12" ref="A13:B17" totalsRowCount="1">
  <autoFilter ref="A13:B16" xr:uid="{60D5BE7C-0B42-4F5B-9A4F-6C286F8AE6BC}"/>
  <tableColumns count="2">
    <tableColumn id="1" xr3:uid="{4A2F2269-8A8D-4590-ABDB-67A6D0ADE8E8}" name="Type" totalsRowLabel="Total"/>
    <tableColumn id="2" xr3:uid="{F86A0563-1BAF-49DD-98C8-44DC735917AB}" name="Total" totalsRowFunction="sum" dataDxfId="3" totalsRowDxfId="2">
      <calculatedColumnFormula>SUMIFS(Operations[Amount],Operations[Type],expenses_12[[#This Row],[Type]],Operations[Month],$B$11)</calculatedColumnFormula>
    </tableColumn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A47BD3E5-49D7-428B-9031-2C8429DD4BC4}" name="balance_12" displayName="balance_12" ref="K1:L11" totalsRowCount="1">
  <autoFilter ref="K1:L10" xr:uid="{5BE19838-7424-49EA-B0BE-A3075D7C352E}"/>
  <tableColumns count="2">
    <tableColumn id="1" xr3:uid="{5464D630-3145-47EA-90EC-1D0B2BB4064F}" name="Category" totalsRowLabel="Total"/>
    <tableColumn id="2" xr3:uid="{1F7B6F03-D1B5-496A-ADCE-18CE1AB1753D}" name="Total" totalsRowFunction="sum" dataDxfId="1" totalsRowDxfId="0">
      <calculatedColumnFormula>SUMIFS(Operations[Amount],Operations[Category],balance_12[[#This Row],[Category]],Operations[Month],$B$11)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4" Type="http://schemas.openxmlformats.org/officeDocument/2006/relationships/table" Target="../tables/table2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4" Type="http://schemas.openxmlformats.org/officeDocument/2006/relationships/table" Target="../tables/table2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4" Type="http://schemas.openxmlformats.org/officeDocument/2006/relationships/table" Target="../tables/table2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Relationship Id="rId4" Type="http://schemas.openxmlformats.org/officeDocument/2006/relationships/table" Target="../tables/table3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Relationship Id="rId4" Type="http://schemas.openxmlformats.org/officeDocument/2006/relationships/table" Target="../tables/table3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Relationship Id="rId4" Type="http://schemas.openxmlformats.org/officeDocument/2006/relationships/table" Target="../tables/table4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4" Type="http://schemas.openxmlformats.org/officeDocument/2006/relationships/table" Target="../tables/table4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Relationship Id="rId4" Type="http://schemas.openxmlformats.org/officeDocument/2006/relationships/table" Target="../tables/table4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2" Type="http://schemas.openxmlformats.org/officeDocument/2006/relationships/table" Target="../tables/table51.xml"/><Relationship Id="rId1" Type="http://schemas.openxmlformats.org/officeDocument/2006/relationships/table" Target="../tables/table50.xml"/><Relationship Id="rId4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3057-E1D0-470B-A5BD-E4C50BB16448}">
  <dimension ref="A1:I17"/>
  <sheetViews>
    <sheetView workbookViewId="0">
      <selection sqref="A1:B17"/>
    </sheetView>
  </sheetViews>
  <sheetFormatPr defaultRowHeight="14.4" x14ac:dyDescent="0.3"/>
  <cols>
    <col min="1" max="1" width="13.5546875" customWidth="1"/>
    <col min="2" max="2" width="11.33203125" customWidth="1"/>
    <col min="4" max="4" width="10" customWidth="1"/>
    <col min="5" max="5" width="15.5546875" customWidth="1"/>
    <col min="7" max="7" width="14.33203125" customWidth="1"/>
    <col min="8" max="8" width="16.6640625" customWidth="1"/>
  </cols>
  <sheetData>
    <row r="1" spans="1:9" x14ac:dyDescent="0.3">
      <c r="A1" t="s">
        <v>3</v>
      </c>
      <c r="B1" t="s">
        <v>4</v>
      </c>
      <c r="D1" s="4" t="s">
        <v>0</v>
      </c>
      <c r="E1" s="4" t="s">
        <v>2</v>
      </c>
      <c r="G1" s="5" t="s">
        <v>11</v>
      </c>
      <c r="H1" s="5" t="s">
        <v>7</v>
      </c>
      <c r="I1" s="5" t="s">
        <v>13</v>
      </c>
    </row>
    <row r="2" spans="1:9" x14ac:dyDescent="0.3">
      <c r="A2" t="s">
        <v>18</v>
      </c>
      <c r="B2" t="s">
        <v>32</v>
      </c>
      <c r="D2" s="1" t="s">
        <v>11</v>
      </c>
      <c r="E2" s="1" t="s">
        <v>8</v>
      </c>
      <c r="G2" s="7" t="s">
        <v>8</v>
      </c>
      <c r="H2" s="7" t="s">
        <v>8</v>
      </c>
      <c r="I2" s="6" t="s">
        <v>15</v>
      </c>
    </row>
    <row r="3" spans="1:9" x14ac:dyDescent="0.3">
      <c r="A3" t="s">
        <v>22</v>
      </c>
      <c r="B3" t="s">
        <v>32</v>
      </c>
      <c r="D3" s="1" t="s">
        <v>11</v>
      </c>
      <c r="E3" s="1" t="s">
        <v>12</v>
      </c>
      <c r="G3" s="6" t="s">
        <v>12</v>
      </c>
      <c r="H3" s="6" t="s">
        <v>9</v>
      </c>
      <c r="I3" s="7" t="s">
        <v>14</v>
      </c>
    </row>
    <row r="4" spans="1:9" x14ac:dyDescent="0.3">
      <c r="A4" t="s">
        <v>20</v>
      </c>
      <c r="B4" t="s">
        <v>32</v>
      </c>
      <c r="D4" s="1" t="s">
        <v>7</v>
      </c>
      <c r="E4" s="1" t="s">
        <v>8</v>
      </c>
      <c r="G4" s="5"/>
      <c r="H4" s="7" t="s">
        <v>10</v>
      </c>
      <c r="I4" s="5"/>
    </row>
    <row r="5" spans="1:9" x14ac:dyDescent="0.3">
      <c r="A5" t="s">
        <v>17</v>
      </c>
      <c r="B5" t="s">
        <v>32</v>
      </c>
      <c r="D5" s="1" t="s">
        <v>7</v>
      </c>
      <c r="E5" s="1" t="s">
        <v>9</v>
      </c>
      <c r="G5" s="5"/>
      <c r="H5" s="5"/>
      <c r="I5" s="5"/>
    </row>
    <row r="6" spans="1:9" x14ac:dyDescent="0.3">
      <c r="A6" t="s">
        <v>21</v>
      </c>
      <c r="B6" t="s">
        <v>32</v>
      </c>
      <c r="D6" s="1" t="s">
        <v>7</v>
      </c>
      <c r="E6" s="1" t="s">
        <v>10</v>
      </c>
      <c r="G6" s="5"/>
      <c r="H6" s="5"/>
      <c r="I6" s="5"/>
    </row>
    <row r="7" spans="1:9" x14ac:dyDescent="0.3">
      <c r="A7" t="s">
        <v>19</v>
      </c>
      <c r="B7" t="s">
        <v>32</v>
      </c>
      <c r="D7" s="1" t="s">
        <v>13</v>
      </c>
      <c r="E7" s="1" t="s">
        <v>15</v>
      </c>
      <c r="G7" s="5"/>
      <c r="H7" s="5"/>
      <c r="I7" s="5"/>
    </row>
    <row r="8" spans="1:9" x14ac:dyDescent="0.3">
      <c r="A8" t="s">
        <v>24</v>
      </c>
      <c r="B8" t="s">
        <v>32</v>
      </c>
      <c r="D8" s="1" t="s">
        <v>13</v>
      </c>
      <c r="E8" s="1" t="s">
        <v>14</v>
      </c>
      <c r="G8" s="5"/>
      <c r="H8" s="5"/>
      <c r="I8" s="5"/>
    </row>
    <row r="9" spans="1:9" x14ac:dyDescent="0.3">
      <c r="A9" t="s">
        <v>23</v>
      </c>
      <c r="B9" t="s">
        <v>32</v>
      </c>
    </row>
    <row r="10" spans="1:9" x14ac:dyDescent="0.3">
      <c r="A10" t="s">
        <v>16</v>
      </c>
      <c r="B10" t="s">
        <v>32</v>
      </c>
    </row>
    <row r="11" spans="1:9" x14ac:dyDescent="0.3">
      <c r="A11" t="s">
        <v>25</v>
      </c>
      <c r="B11" t="s">
        <v>33</v>
      </c>
    </row>
    <row r="12" spans="1:9" x14ac:dyDescent="0.3">
      <c r="A12" t="s">
        <v>28</v>
      </c>
      <c r="B12" t="s">
        <v>33</v>
      </c>
    </row>
    <row r="13" spans="1:9" x14ac:dyDescent="0.3">
      <c r="A13" t="s">
        <v>29</v>
      </c>
      <c r="B13" t="s">
        <v>33</v>
      </c>
    </row>
    <row r="14" spans="1:9" x14ac:dyDescent="0.3">
      <c r="A14" t="s">
        <v>30</v>
      </c>
      <c r="B14" t="s">
        <v>33</v>
      </c>
    </row>
    <row r="15" spans="1:9" x14ac:dyDescent="0.3">
      <c r="A15" t="s">
        <v>26</v>
      </c>
      <c r="B15" t="s">
        <v>33</v>
      </c>
    </row>
    <row r="16" spans="1:9" x14ac:dyDescent="0.3">
      <c r="A16" t="s">
        <v>27</v>
      </c>
      <c r="B16" t="s">
        <v>33</v>
      </c>
    </row>
    <row r="17" spans="1:2" x14ac:dyDescent="0.3">
      <c r="A17" t="s">
        <v>31</v>
      </c>
      <c r="B17" t="s">
        <v>31</v>
      </c>
    </row>
  </sheetData>
  <sortState xmlns:xlrd2="http://schemas.microsoft.com/office/spreadsheetml/2017/richdata2" ref="D2:E208">
    <sortCondition ref="D2:D208"/>
  </sortState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8"/>
  <sheetViews>
    <sheetView topLeftCell="A52" workbookViewId="0">
      <selection activeCell="A121" sqref="A121"/>
    </sheetView>
  </sheetViews>
  <sheetFormatPr defaultRowHeight="14.4" x14ac:dyDescent="0.3"/>
  <cols>
    <col min="1" max="1" width="11.88671875" bestFit="1" customWidth="1"/>
    <col min="2" max="2" width="10.6640625" bestFit="1" customWidth="1"/>
    <col min="3" max="3" width="18.5546875" bestFit="1" customWidth="1"/>
    <col min="4" max="4" width="16" bestFit="1" customWidth="1"/>
    <col min="5" max="5" width="11.109375" customWidth="1"/>
    <col min="6" max="6" width="11.33203125" bestFit="1" customWidth="1"/>
    <col min="7" max="7" width="8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Row],[Category]],Categories[Category],Categories[Type],"",0,1)</f>
        <v>Expence</v>
      </c>
      <c r="F2" s="3">
        <v>45296</v>
      </c>
      <c r="G2" s="1">
        <f>MONTH(Operations[[#This Row],[Date]])</f>
        <v>1</v>
      </c>
    </row>
    <row r="3" spans="1:7" x14ac:dyDescent="0.3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3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Row],[Category]],Categories[Category],Categories[Type],"",0,1)</f>
        <v>Expence</v>
      </c>
      <c r="F4" s="3">
        <v>45302</v>
      </c>
      <c r="G4" s="1">
        <f>MONTH(Operations[[#This Row],[Date]])</f>
        <v>1</v>
      </c>
    </row>
    <row r="5" spans="1:7" x14ac:dyDescent="0.3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Row],[Category]],Categories[Category],Categories[Type],"",0,1)</f>
        <v>Expence</v>
      </c>
      <c r="F5" s="3">
        <v>45305</v>
      </c>
      <c r="G5" s="1">
        <f>MONTH(Operations[[#This Row],[Date]])</f>
        <v>1</v>
      </c>
    </row>
    <row r="6" spans="1:7" x14ac:dyDescent="0.3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Row],[Category]],Categories[Category],Categories[Type],"",0,1)</f>
        <v>Expence</v>
      </c>
      <c r="F6" s="3">
        <v>45306</v>
      </c>
      <c r="G6" s="1">
        <f>MONTH(Operations[[#This Row],[Date]])</f>
        <v>1</v>
      </c>
    </row>
    <row r="7" spans="1:7" x14ac:dyDescent="0.3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Row],[Category]],Categories[Category],Categories[Type],"",0,1)</f>
        <v>Expence</v>
      </c>
      <c r="F7" s="3">
        <v>45307</v>
      </c>
      <c r="G7" s="1">
        <f>MONTH(Operations[[#This Row],[Date]])</f>
        <v>1</v>
      </c>
    </row>
    <row r="8" spans="1:7" x14ac:dyDescent="0.3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3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Row],[Category]],Categories[Category],Categories[Type],"",0,1)</f>
        <v>Expence</v>
      </c>
      <c r="F9" s="3">
        <v>45308</v>
      </c>
      <c r="G9" s="1">
        <f>MONTH(Operations[[#This Row],[Date]])</f>
        <v>1</v>
      </c>
    </row>
    <row r="10" spans="1:7" x14ac:dyDescent="0.3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3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Row],[Category]],Categories[Category],Categories[Type],"",0,1)</f>
        <v>Expence</v>
      </c>
      <c r="F11" s="3">
        <v>45310</v>
      </c>
      <c r="G11" s="1">
        <f>MONTH(Operations[[#This Row],[Date]])</f>
        <v>1</v>
      </c>
    </row>
    <row r="12" spans="1:7" x14ac:dyDescent="0.3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Row],[Category]],Categories[Category],Categories[Type],"",0,1)</f>
        <v>Expence</v>
      </c>
      <c r="F12" s="3">
        <v>45311</v>
      </c>
      <c r="G12" s="1">
        <f>MONTH(Operations[[#This Row],[Date]])</f>
        <v>1</v>
      </c>
    </row>
    <row r="13" spans="1:7" x14ac:dyDescent="0.3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3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Expence</v>
      </c>
      <c r="F14" s="3">
        <v>45313</v>
      </c>
      <c r="G14" s="1">
        <f>MONTH(Operations[[#This Row],[Date]])</f>
        <v>1</v>
      </c>
    </row>
    <row r="15" spans="1:7" x14ac:dyDescent="0.3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Expence</v>
      </c>
      <c r="F15" s="3">
        <v>45314</v>
      </c>
      <c r="G15" s="1">
        <f>MONTH(Operations[[#This Row],[Date]])</f>
        <v>1</v>
      </c>
    </row>
    <row r="16" spans="1:7" x14ac:dyDescent="0.3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Expence</v>
      </c>
      <c r="F16" s="3">
        <v>45315</v>
      </c>
      <c r="G16" s="1">
        <f>MONTH(Operations[[#This Row],[Date]])</f>
        <v>1</v>
      </c>
    </row>
    <row r="17" spans="1:7" x14ac:dyDescent="0.3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Row],[Category]],Categories[Category],Categories[Type],"",0,1)</f>
        <v>Expence</v>
      </c>
      <c r="F17" s="3">
        <v>45316</v>
      </c>
      <c r="G17" s="1">
        <f>MONTH(Operations[[#This Row],[Date]])</f>
        <v>1</v>
      </c>
    </row>
    <row r="18" spans="1:7" x14ac:dyDescent="0.3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3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3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3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Row],[Category]],Categories[Category],Categories[Type],"",0,1)</f>
        <v>Expence</v>
      </c>
      <c r="F21" s="3">
        <v>45319</v>
      </c>
      <c r="G21" s="1">
        <f>MONTH(Operations[[#This Row],[Date]])</f>
        <v>1</v>
      </c>
    </row>
    <row r="22" spans="1:7" x14ac:dyDescent="0.3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3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Row],[Category]],Categories[Category],Categories[Type],"",0,1)</f>
        <v>Expence</v>
      </c>
      <c r="F23" s="3">
        <v>45326</v>
      </c>
      <c r="G23" s="1">
        <f>MONTH(Operations[[#This Row],[Date]])</f>
        <v>2</v>
      </c>
    </row>
    <row r="24" spans="1:7" x14ac:dyDescent="0.3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Row],[Category]],Categories[Category],Categories[Type],"",0,1)</f>
        <v>Expence</v>
      </c>
      <c r="F24" s="3">
        <v>45328</v>
      </c>
      <c r="G24" s="1">
        <f>MONTH(Operations[[#This Row],[Date]])</f>
        <v>2</v>
      </c>
    </row>
    <row r="25" spans="1:7" x14ac:dyDescent="0.3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3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Row],[Category]],Categories[Category],Categories[Type],"",0,1)</f>
        <v>Expence</v>
      </c>
      <c r="F26" s="3">
        <v>45333</v>
      </c>
      <c r="G26" s="1">
        <f>MONTH(Operations[[#This Row],[Date]])</f>
        <v>2</v>
      </c>
    </row>
    <row r="27" spans="1:7" x14ac:dyDescent="0.3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Expence</v>
      </c>
      <c r="F27" s="3">
        <v>45335</v>
      </c>
      <c r="G27" s="1">
        <f>MONTH(Operations[[#This Row],[Date]])</f>
        <v>2</v>
      </c>
    </row>
    <row r="28" spans="1:7" x14ac:dyDescent="0.3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3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Row],[Category]],Categories[Category],Categories[Type],"",0,1)</f>
        <v>Expence</v>
      </c>
      <c r="F29" s="3">
        <v>45336</v>
      </c>
      <c r="G29" s="1">
        <f>MONTH(Operations[[#This Row],[Date]])</f>
        <v>2</v>
      </c>
    </row>
    <row r="30" spans="1:7" x14ac:dyDescent="0.3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Row],[Category]],Categories[Category],Categories[Type],"",0,1)</f>
        <v>Expence</v>
      </c>
      <c r="F30" s="3">
        <v>45336</v>
      </c>
      <c r="G30" s="1">
        <f>MONTH(Operations[[#This Row],[Date]])</f>
        <v>2</v>
      </c>
    </row>
    <row r="31" spans="1:7" x14ac:dyDescent="0.3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Row],[Category]],Categories[Category],Categories[Type],"",0,1)</f>
        <v>Expence</v>
      </c>
      <c r="F31" s="3">
        <v>45336</v>
      </c>
      <c r="G31" s="1">
        <f>MONTH(Operations[[#This Row],[Date]])</f>
        <v>2</v>
      </c>
    </row>
    <row r="32" spans="1:7" x14ac:dyDescent="0.3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Row],[Category]],Categories[Category],Categories[Type],"",0,1)</f>
        <v>Transfer</v>
      </c>
      <c r="F32" s="3">
        <v>45337</v>
      </c>
      <c r="G32" s="1">
        <f>MONTH(Operations[[#This Row],[Date]])</f>
        <v>2</v>
      </c>
    </row>
    <row r="33" spans="1:7" x14ac:dyDescent="0.3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Row],[Category]],Categories[Category],Categories[Type],"",0,1)</f>
        <v>Transfer</v>
      </c>
      <c r="F33" s="3">
        <v>45337</v>
      </c>
      <c r="G33" s="1">
        <f>MONTH(Operations[[#This Row],[Date]])</f>
        <v>2</v>
      </c>
    </row>
    <row r="34" spans="1:7" x14ac:dyDescent="0.3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Expence</v>
      </c>
      <c r="F34" s="3">
        <v>45339</v>
      </c>
      <c r="G34" s="1">
        <f>MONTH(Operations[[#This Row],[Date]])</f>
        <v>2</v>
      </c>
    </row>
    <row r="35" spans="1:7" x14ac:dyDescent="0.3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Row],[Category]],Categories[Category],Categories[Type],"",0,1)</f>
        <v>Expence</v>
      </c>
      <c r="F35" s="3">
        <v>45342</v>
      </c>
      <c r="G35" s="1">
        <f>MONTH(Operations[[#This Row],[Date]])</f>
        <v>2</v>
      </c>
    </row>
    <row r="36" spans="1:7" x14ac:dyDescent="0.3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3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3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Row],[Category]],Categories[Category],Categories[Type],"",0,1)</f>
        <v>Expence</v>
      </c>
      <c r="F38" s="3">
        <v>45346</v>
      </c>
      <c r="G38" s="1">
        <f>MONTH(Operations[[#This Row],[Date]])</f>
        <v>2</v>
      </c>
    </row>
    <row r="39" spans="1:7" x14ac:dyDescent="0.3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3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Row],[Category]],Categories[Category],Categories[Type],"",0,1)</f>
        <v>Expence</v>
      </c>
      <c r="F40" s="3">
        <v>45347</v>
      </c>
      <c r="G40" s="1">
        <f>MONTH(Operations[[#This Row],[Date]])</f>
        <v>2</v>
      </c>
    </row>
    <row r="41" spans="1:7" x14ac:dyDescent="0.3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Row],[Category]],Categories[Category],Categories[Type],"",0,1)</f>
        <v>Expence</v>
      </c>
      <c r="F41" s="3">
        <v>45348</v>
      </c>
      <c r="G41" s="1">
        <f>MONTH(Operations[[#This Row],[Date]])</f>
        <v>2</v>
      </c>
    </row>
    <row r="42" spans="1:7" x14ac:dyDescent="0.3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Row],[Category]],Categories[Category],Categories[Type],"",0,1)</f>
        <v>Expence</v>
      </c>
      <c r="F42" s="3">
        <v>45348</v>
      </c>
      <c r="G42" s="1">
        <f>MONTH(Operations[[#This Row],[Date]])</f>
        <v>2</v>
      </c>
    </row>
    <row r="43" spans="1:7" x14ac:dyDescent="0.3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3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Row],[Category]],Categories[Category],Categories[Type],"",0,1)</f>
        <v>Expence</v>
      </c>
      <c r="F44" s="3">
        <v>45350</v>
      </c>
      <c r="G44" s="1">
        <f>MONTH(Operations[[#This Row],[Date]])</f>
        <v>2</v>
      </c>
    </row>
    <row r="45" spans="1:7" x14ac:dyDescent="0.3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3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Row],[Category]],Categories[Category],Categories[Type],"",0,1)</f>
        <v>Expence</v>
      </c>
      <c r="F46" s="3">
        <v>45352</v>
      </c>
      <c r="G46" s="1">
        <f>MONTH(Operations[[#This Row],[Date]])</f>
        <v>3</v>
      </c>
    </row>
    <row r="47" spans="1:7" x14ac:dyDescent="0.3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Row],[Category]],Categories[Category],Categories[Type],"",0,1)</f>
        <v>Expence</v>
      </c>
      <c r="F47" s="3">
        <v>45353</v>
      </c>
      <c r="G47" s="1">
        <f>MONTH(Operations[[#This Row],[Date]])</f>
        <v>3</v>
      </c>
    </row>
    <row r="48" spans="1:7" x14ac:dyDescent="0.3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Row],[Category]],Categories[Category],Categories[Type],"",0,1)</f>
        <v>Expence</v>
      </c>
      <c r="F48" s="3">
        <v>45353</v>
      </c>
      <c r="G48" s="1">
        <f>MONTH(Operations[[#This Row],[Date]])</f>
        <v>3</v>
      </c>
    </row>
    <row r="49" spans="1:7" x14ac:dyDescent="0.3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Expence</v>
      </c>
      <c r="F49" s="3">
        <v>45355</v>
      </c>
      <c r="G49" s="1">
        <f>MONTH(Operations[[#This Row],[Date]])</f>
        <v>3</v>
      </c>
    </row>
    <row r="50" spans="1:7" x14ac:dyDescent="0.3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3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Row],[Category]],Categories[Category],Categories[Type],"",0,1)</f>
        <v>Expence</v>
      </c>
      <c r="F51" s="3">
        <v>45359</v>
      </c>
      <c r="G51" s="1">
        <f>MONTH(Operations[[#This Row],[Date]])</f>
        <v>3</v>
      </c>
    </row>
    <row r="52" spans="1:7" x14ac:dyDescent="0.3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3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Row],[Category]],Categories[Category],Categories[Type],"",0,1)</f>
        <v>Expence</v>
      </c>
      <c r="F53" s="3">
        <v>45362</v>
      </c>
      <c r="G53" s="1">
        <f>MONTH(Operations[[#This Row],[Date]])</f>
        <v>3</v>
      </c>
    </row>
    <row r="54" spans="1:7" x14ac:dyDescent="0.3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Row],[Category]],Categories[Category],Categories[Type],"",0,1)</f>
        <v>Expence</v>
      </c>
      <c r="F54" s="3">
        <v>45363</v>
      </c>
      <c r="G54" s="1">
        <f>MONTH(Operations[[#This Row],[Date]])</f>
        <v>3</v>
      </c>
    </row>
    <row r="55" spans="1:7" x14ac:dyDescent="0.3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Expence</v>
      </c>
      <c r="F55" s="3">
        <v>45364</v>
      </c>
      <c r="G55" s="1">
        <f>MONTH(Operations[[#This Row],[Date]])</f>
        <v>3</v>
      </c>
    </row>
    <row r="56" spans="1:7" x14ac:dyDescent="0.3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Row],[Category]],Categories[Category],Categories[Type],"",0,1)</f>
        <v>Expence</v>
      </c>
      <c r="F56" s="3">
        <v>45368</v>
      </c>
      <c r="G56" s="1">
        <f>MONTH(Operations[[#This Row],[Date]])</f>
        <v>3</v>
      </c>
    </row>
    <row r="57" spans="1:7" x14ac:dyDescent="0.3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Row],[Category]],Categories[Category],Categories[Type],"",0,1)</f>
        <v>Expence</v>
      </c>
      <c r="F57" s="3">
        <v>45371</v>
      </c>
      <c r="G57" s="1">
        <f>MONTH(Operations[[#This Row],[Date]])</f>
        <v>3</v>
      </c>
    </row>
    <row r="58" spans="1:7" x14ac:dyDescent="0.3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Row],[Category]],Categories[Category],Categories[Type],"",0,1)</f>
        <v>Expence</v>
      </c>
      <c r="F58" s="3">
        <v>45373</v>
      </c>
      <c r="G58" s="1">
        <f>MONTH(Operations[[#This Row],[Date]])</f>
        <v>3</v>
      </c>
    </row>
    <row r="59" spans="1:7" x14ac:dyDescent="0.3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Row],[Category]],Categories[Category],Categories[Type],"",0,1)</f>
        <v>Expence</v>
      </c>
      <c r="F59" s="3">
        <v>45375</v>
      </c>
      <c r="G59" s="1">
        <f>MONTH(Operations[[#This Row],[Date]])</f>
        <v>3</v>
      </c>
    </row>
    <row r="60" spans="1:7" x14ac:dyDescent="0.3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3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Row],[Category]],Categories[Category],Categories[Type],"",0,1)</f>
        <v>Expence</v>
      </c>
      <c r="F61" s="3">
        <v>45379</v>
      </c>
      <c r="G61" s="1">
        <f>MONTH(Operations[[#This Row],[Date]])</f>
        <v>3</v>
      </c>
    </row>
    <row r="62" spans="1:7" x14ac:dyDescent="0.3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Row],[Category]],Categories[Category],Categories[Type],"",0,1)</f>
        <v>Expence</v>
      </c>
      <c r="F62" s="3">
        <v>45381</v>
      </c>
      <c r="G62" s="1">
        <f>MONTH(Operations[[#This Row],[Date]])</f>
        <v>3</v>
      </c>
    </row>
    <row r="63" spans="1:7" x14ac:dyDescent="0.3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Row],[Category]],Categories[Category],Categories[Type],"",0,1)</f>
        <v>Expence</v>
      </c>
      <c r="F63" s="3">
        <v>45383</v>
      </c>
      <c r="G63" s="1">
        <f>MONTH(Operations[[#This Row],[Date]])</f>
        <v>4</v>
      </c>
    </row>
    <row r="64" spans="1:7" x14ac:dyDescent="0.3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Row],[Category]],Categories[Category],Categories[Type],"",0,1)</f>
        <v>Expence</v>
      </c>
      <c r="F64" s="3">
        <v>45384</v>
      </c>
      <c r="G64" s="1">
        <f>MONTH(Operations[[#This Row],[Date]])</f>
        <v>4</v>
      </c>
    </row>
    <row r="65" spans="1:7" x14ac:dyDescent="0.3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3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Row],[Category]],Categories[Category],Categories[Type],"",0,1)</f>
        <v>Expence</v>
      </c>
      <c r="F66" s="3">
        <v>45389</v>
      </c>
      <c r="G66" s="1">
        <f>MONTH(Operations[[#This Row],[Date]])</f>
        <v>4</v>
      </c>
    </row>
    <row r="67" spans="1:7" x14ac:dyDescent="0.3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3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Row],[Category]],Categories[Category],Categories[Type],"",0,1)</f>
        <v>Expence</v>
      </c>
      <c r="F68" s="3">
        <v>45393</v>
      </c>
      <c r="G68" s="1">
        <f>MONTH(Operations[[#This Row],[Date]])</f>
        <v>4</v>
      </c>
    </row>
    <row r="69" spans="1:7" x14ac:dyDescent="0.3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Expence</v>
      </c>
      <c r="F69" s="3">
        <v>45395</v>
      </c>
      <c r="G69" s="1">
        <f>MONTH(Operations[[#This Row],[Date]])</f>
        <v>4</v>
      </c>
    </row>
    <row r="70" spans="1:7" x14ac:dyDescent="0.3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Row],[Category]],Categories[Category],Categories[Type],"",0,1)</f>
        <v>Transfer</v>
      </c>
      <c r="F70" s="3">
        <v>45397</v>
      </c>
      <c r="G70" s="1">
        <f>MONTH(Operations[[#This Row],[Date]])</f>
        <v>4</v>
      </c>
    </row>
    <row r="71" spans="1:7" x14ac:dyDescent="0.3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Row],[Category]],Categories[Category],Categories[Type],"",0,1)</f>
        <v>Transfer</v>
      </c>
      <c r="F71" s="3">
        <v>45397</v>
      </c>
      <c r="G71" s="1">
        <f>MONTH(Operations[[#This Row],[Date]])</f>
        <v>4</v>
      </c>
    </row>
    <row r="72" spans="1:7" x14ac:dyDescent="0.3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Row],[Category]],Categories[Category],Categories[Type],"",0,1)</f>
        <v>Expence</v>
      </c>
      <c r="F72" s="3">
        <v>45397</v>
      </c>
      <c r="G72" s="1">
        <f>MONTH(Operations[[#This Row],[Date]])</f>
        <v>4</v>
      </c>
    </row>
    <row r="73" spans="1:7" x14ac:dyDescent="0.3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Row],[Category]],Categories[Category],Categories[Type],"",0,1)</f>
        <v>Expence</v>
      </c>
      <c r="F73" s="3">
        <v>45398</v>
      </c>
      <c r="G73" s="1">
        <f>MONTH(Operations[[#This Row],[Date]])</f>
        <v>4</v>
      </c>
    </row>
    <row r="74" spans="1:7" x14ac:dyDescent="0.3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Row],[Category]],Categories[Category],Categories[Type],"",0,1)</f>
        <v>Expence</v>
      </c>
      <c r="F74" s="3">
        <v>45399</v>
      </c>
      <c r="G74" s="1">
        <f>MONTH(Operations[[#This Row],[Date]])</f>
        <v>4</v>
      </c>
    </row>
    <row r="75" spans="1:7" x14ac:dyDescent="0.3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Row],[Category]],Categories[Category],Categories[Type],"",0,1)</f>
        <v>Expence</v>
      </c>
      <c r="F75" s="3">
        <v>45401</v>
      </c>
      <c r="G75" s="1">
        <f>MONTH(Operations[[#This Row],[Date]])</f>
        <v>4</v>
      </c>
    </row>
    <row r="76" spans="1:7" x14ac:dyDescent="0.3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Row],[Category]],Categories[Category],Categories[Type],"",0,1)</f>
        <v>Expence</v>
      </c>
      <c r="F76" s="3">
        <v>45403</v>
      </c>
      <c r="G76" s="1">
        <f>MONTH(Operations[[#This Row],[Date]])</f>
        <v>4</v>
      </c>
    </row>
    <row r="77" spans="1:7" x14ac:dyDescent="0.3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Expence</v>
      </c>
      <c r="F77" s="3">
        <v>45405</v>
      </c>
      <c r="G77" s="1">
        <f>MONTH(Operations[[#This Row],[Date]])</f>
        <v>4</v>
      </c>
    </row>
    <row r="78" spans="1:7" x14ac:dyDescent="0.3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3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Row],[Category]],Categories[Category],Categories[Type],"",0,1)</f>
        <v>Expence</v>
      </c>
      <c r="F79" s="3">
        <v>45409</v>
      </c>
      <c r="G79" s="1">
        <f>MONTH(Operations[[#This Row],[Date]])</f>
        <v>4</v>
      </c>
    </row>
    <row r="80" spans="1:7" x14ac:dyDescent="0.3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Row],[Category]],Categories[Category],Categories[Type],"",0,1)</f>
        <v>Expence</v>
      </c>
      <c r="F80" s="3">
        <v>45410</v>
      </c>
      <c r="G80" s="1">
        <f>MONTH(Operations[[#This Row],[Date]])</f>
        <v>4</v>
      </c>
    </row>
    <row r="81" spans="1:7" x14ac:dyDescent="0.3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Expence</v>
      </c>
      <c r="F81" s="3">
        <v>45411</v>
      </c>
      <c r="G81" s="1">
        <f>MONTH(Operations[[#This Row],[Date]])</f>
        <v>4</v>
      </c>
    </row>
    <row r="82" spans="1:7" x14ac:dyDescent="0.3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Row],[Category]],Categories[Category],Categories[Type],"",0,1)</f>
        <v>Expence</v>
      </c>
      <c r="F82" s="3">
        <v>45419</v>
      </c>
      <c r="G82" s="1">
        <f>MONTH(Operations[[#This Row],[Date]])</f>
        <v>5</v>
      </c>
    </row>
    <row r="83" spans="1:7" x14ac:dyDescent="0.3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Row],[Category]],Categories[Category],Categories[Type],"",0,1)</f>
        <v>Expence</v>
      </c>
      <c r="F83" s="3">
        <v>45422</v>
      </c>
      <c r="G83" s="1">
        <f>MONTH(Operations[[#This Row],[Date]])</f>
        <v>5</v>
      </c>
    </row>
    <row r="84" spans="1:7" x14ac:dyDescent="0.3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3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Row],[Category]],Categories[Category],Categories[Type],"",0,1)</f>
        <v>Expence</v>
      </c>
      <c r="F85" s="3">
        <v>45423</v>
      </c>
      <c r="G85" s="1">
        <f>MONTH(Operations[[#This Row],[Date]])</f>
        <v>5</v>
      </c>
    </row>
    <row r="86" spans="1:7" x14ac:dyDescent="0.3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Row],[Category]],Categories[Category],Categories[Type],"",0,1)</f>
        <v>Expence</v>
      </c>
      <c r="F86" s="3">
        <v>45426</v>
      </c>
      <c r="G86" s="1">
        <f>MONTH(Operations[[#This Row],[Date]])</f>
        <v>5</v>
      </c>
    </row>
    <row r="87" spans="1:7" x14ac:dyDescent="0.3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Row],[Category]],Categories[Category],Categories[Type],"",0,1)</f>
        <v>Transfer</v>
      </c>
      <c r="F87" s="3">
        <v>45427</v>
      </c>
      <c r="G87" s="1">
        <f>MONTH(Operations[[#This Row],[Date]])</f>
        <v>5</v>
      </c>
    </row>
    <row r="88" spans="1:7" x14ac:dyDescent="0.3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Row],[Category]],Categories[Category],Categories[Type],"",0,1)</f>
        <v>Transfer</v>
      </c>
      <c r="F88" s="3">
        <v>45427</v>
      </c>
      <c r="G88" s="1">
        <f>MONTH(Operations[[#This Row],[Date]])</f>
        <v>5</v>
      </c>
    </row>
    <row r="89" spans="1:7" x14ac:dyDescent="0.3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Row],[Category]],Categories[Category],Categories[Type],"",0,1)</f>
        <v>Expence</v>
      </c>
      <c r="F89" s="3">
        <v>45433</v>
      </c>
      <c r="G89" s="1">
        <f>MONTH(Operations[[#This Row],[Date]])</f>
        <v>5</v>
      </c>
    </row>
    <row r="90" spans="1:7" x14ac:dyDescent="0.3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Row],[Category]],Categories[Category],Categories[Type],"",0,1)</f>
        <v>Expence</v>
      </c>
      <c r="F90" s="3">
        <v>45440</v>
      </c>
      <c r="G90" s="1">
        <f>MONTH(Operations[[#This Row],[Date]])</f>
        <v>5</v>
      </c>
    </row>
    <row r="91" spans="1:7" x14ac:dyDescent="0.3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Row],[Category]],Categories[Category],Categories[Type],"",0,1)</f>
        <v>Expence</v>
      </c>
      <c r="F91" s="3">
        <v>45441</v>
      </c>
      <c r="G91" s="1">
        <f>MONTH(Operations[[#This Row],[Date]])</f>
        <v>5</v>
      </c>
    </row>
    <row r="92" spans="1:7" x14ac:dyDescent="0.3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Row],[Category]],Categories[Category],Categories[Type],"",0,1)</f>
        <v>Expence</v>
      </c>
      <c r="F92" s="3">
        <v>45442</v>
      </c>
      <c r="G92" s="1">
        <f>MONTH(Operations[[#This Row],[Date]])</f>
        <v>5</v>
      </c>
    </row>
    <row r="93" spans="1:7" x14ac:dyDescent="0.3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Row],[Category]],Categories[Category],Categories[Type],"",0,1)</f>
        <v>Expence</v>
      </c>
      <c r="F93" s="3">
        <v>45450</v>
      </c>
      <c r="G93" s="1">
        <f>MONTH(Operations[[#This Row],[Date]])</f>
        <v>6</v>
      </c>
    </row>
    <row r="94" spans="1:7" x14ac:dyDescent="0.3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Row],[Category]],Categories[Category],Categories[Type],"",0,1)</f>
        <v>Expence</v>
      </c>
      <c r="F94" s="3">
        <v>45453</v>
      </c>
      <c r="G94" s="1">
        <f>MONTH(Operations[[#This Row],[Date]])</f>
        <v>6</v>
      </c>
    </row>
    <row r="95" spans="1:7" x14ac:dyDescent="0.3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3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Row],[Category]],Categories[Category],Categories[Type],"",0,1)</f>
        <v>Expence</v>
      </c>
      <c r="F96" s="3">
        <v>45454</v>
      </c>
      <c r="G96" s="1">
        <f>MONTH(Operations[[#This Row],[Date]])</f>
        <v>6</v>
      </c>
    </row>
    <row r="97" spans="1:7" x14ac:dyDescent="0.3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Row],[Category]],Categories[Category],Categories[Type],"",0,1)</f>
        <v>Expence</v>
      </c>
      <c r="F97" s="3">
        <v>45457</v>
      </c>
      <c r="G97" s="1">
        <f>MONTH(Operations[[#This Row],[Date]])</f>
        <v>6</v>
      </c>
    </row>
    <row r="98" spans="1:7" x14ac:dyDescent="0.3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Row],[Category]],Categories[Category],Categories[Type],"",0,1)</f>
        <v>Transfer</v>
      </c>
      <c r="F98" s="3">
        <v>45458</v>
      </c>
      <c r="G98" s="1">
        <f>MONTH(Operations[[#This Row],[Date]])</f>
        <v>6</v>
      </c>
    </row>
    <row r="99" spans="1:7" x14ac:dyDescent="0.3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Row],[Category]],Categories[Category],Categories[Type],"",0,1)</f>
        <v>Transfer</v>
      </c>
      <c r="F99" s="3">
        <v>45458</v>
      </c>
      <c r="G99" s="1">
        <f>MONTH(Operations[[#This Row],[Date]])</f>
        <v>6</v>
      </c>
    </row>
    <row r="100" spans="1:7" x14ac:dyDescent="0.3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Row],[Category]],Categories[Category],Categories[Type],"",0,1)</f>
        <v>Expence</v>
      </c>
      <c r="F100" s="3">
        <v>45458</v>
      </c>
      <c r="G100" s="1">
        <f>MONTH(Operations[[#This Row],[Date]])</f>
        <v>6</v>
      </c>
    </row>
    <row r="101" spans="1:7" x14ac:dyDescent="0.3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Row],[Category]],Categories[Category],Categories[Type],"",0,1)</f>
        <v>Expence</v>
      </c>
      <c r="F101" s="3">
        <v>45464</v>
      </c>
      <c r="G101" s="1">
        <f>MONTH(Operations[[#This Row],[Date]])</f>
        <v>6</v>
      </c>
    </row>
    <row r="102" spans="1:7" x14ac:dyDescent="0.3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Row],[Category]],Categories[Category],Categories[Type],"",0,1)</f>
        <v>Expence</v>
      </c>
      <c r="F102" s="3">
        <v>45471</v>
      </c>
      <c r="G102" s="1">
        <f>MONTH(Operations[[#This Row],[Date]])</f>
        <v>6</v>
      </c>
    </row>
    <row r="103" spans="1:7" x14ac:dyDescent="0.3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Row],[Category]],Categories[Category],Categories[Type],"",0,1)</f>
        <v>Expence</v>
      </c>
      <c r="F103" s="3">
        <v>45471</v>
      </c>
      <c r="G103" s="1">
        <f>MONTH(Operations[[#This Row],[Date]])</f>
        <v>6</v>
      </c>
    </row>
    <row r="104" spans="1:7" x14ac:dyDescent="0.3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Row],[Category]],Categories[Category],Categories[Type],"",0,1)</f>
        <v>Expence</v>
      </c>
      <c r="F104" s="3">
        <v>45472</v>
      </c>
      <c r="G104" s="1">
        <f>MONTH(Operations[[#This Row],[Date]])</f>
        <v>6</v>
      </c>
    </row>
    <row r="105" spans="1:7" x14ac:dyDescent="0.3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3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Row],[Category]],Categories[Category],Categories[Type],"",0,1)</f>
        <v>Expence</v>
      </c>
      <c r="F106" s="3">
        <v>45473</v>
      </c>
      <c r="G106" s="1">
        <f>MONTH(Operations[[#This Row],[Date]])</f>
        <v>6</v>
      </c>
    </row>
    <row r="107" spans="1:7" x14ac:dyDescent="0.3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Row],[Category]],Categories[Category],Categories[Type],"",0,1)</f>
        <v>Expence</v>
      </c>
      <c r="F107" s="3">
        <v>45476</v>
      </c>
      <c r="G107" s="1">
        <f>MONTH(Operations[[#This Row],[Date]])</f>
        <v>7</v>
      </c>
    </row>
    <row r="108" spans="1:7" x14ac:dyDescent="0.3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Expence</v>
      </c>
      <c r="F108" s="3">
        <v>45480</v>
      </c>
      <c r="G108" s="1">
        <f>MONTH(Operations[[#This Row],[Date]])</f>
        <v>7</v>
      </c>
    </row>
    <row r="109" spans="1:7" x14ac:dyDescent="0.3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3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Row],[Category]],Categories[Category],Categories[Type],"",0,1)</f>
        <v>Expence</v>
      </c>
      <c r="F110" s="3">
        <v>45484</v>
      </c>
      <c r="G110" s="1">
        <f>MONTH(Operations[[#This Row],[Date]])</f>
        <v>7</v>
      </c>
    </row>
    <row r="111" spans="1:7" x14ac:dyDescent="0.3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Row],[Category]],Categories[Category],Categories[Type],"",0,1)</f>
        <v>Expence</v>
      </c>
      <c r="F111" s="3">
        <v>45487</v>
      </c>
      <c r="G111" s="1">
        <f>MONTH(Operations[[#This Row],[Date]])</f>
        <v>7</v>
      </c>
    </row>
    <row r="112" spans="1:7" x14ac:dyDescent="0.3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Row],[Category]],Categories[Category],Categories[Type],"",0,1)</f>
        <v>Transfer</v>
      </c>
      <c r="F112" s="3">
        <v>45488</v>
      </c>
      <c r="G112" s="1">
        <f>MONTH(Operations[[#This Row],[Date]])</f>
        <v>7</v>
      </c>
    </row>
    <row r="113" spans="1:7" x14ac:dyDescent="0.3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Row],[Category]],Categories[Category],Categories[Type],"",0,1)</f>
        <v>Transfer</v>
      </c>
      <c r="F113" s="3">
        <v>45488</v>
      </c>
      <c r="G113" s="1">
        <f>MONTH(Operations[[#This Row],[Date]])</f>
        <v>7</v>
      </c>
    </row>
    <row r="114" spans="1:7" x14ac:dyDescent="0.3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Row],[Category]],Categories[Category],Categories[Type],"",0,1)</f>
        <v>Expence</v>
      </c>
      <c r="F114" s="3">
        <v>45489</v>
      </c>
      <c r="G114" s="1">
        <f>MONTH(Operations[[#This Row],[Date]])</f>
        <v>7</v>
      </c>
    </row>
    <row r="115" spans="1:7" x14ac:dyDescent="0.3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3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Expence</v>
      </c>
      <c r="F116" s="3">
        <v>45494</v>
      </c>
      <c r="G116" s="1">
        <f>MONTH(Operations[[#This Row],[Date]])</f>
        <v>7</v>
      </c>
    </row>
    <row r="117" spans="1:7" x14ac:dyDescent="0.3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3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Row],[Category]],Categories[Category],Categories[Type],"",0,1)</f>
        <v>Expence</v>
      </c>
      <c r="F118" s="3">
        <v>45497</v>
      </c>
      <c r="G118" s="1">
        <f>MONTH(Operations[[#This Row],[Date]])</f>
        <v>7</v>
      </c>
    </row>
    <row r="119" spans="1:7" x14ac:dyDescent="0.3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Row],[Category]],Categories[Category],Categories[Type],"",0,1)</f>
        <v>Expence</v>
      </c>
      <c r="F119" s="3">
        <v>45499</v>
      </c>
      <c r="G119" s="1">
        <f>MONTH(Operations[[#This Row],[Date]])</f>
        <v>7</v>
      </c>
    </row>
    <row r="120" spans="1:7" x14ac:dyDescent="0.3">
      <c r="A120" s="2">
        <v>-250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Row],[Category]],Categories[Category],Categories[Type],"",0,1)</f>
        <v>Expence</v>
      </c>
      <c r="F120" s="3">
        <v>45502</v>
      </c>
      <c r="G120" s="1">
        <f>MONTH(Operations[[#This Row],[Date]])</f>
        <v>7</v>
      </c>
    </row>
    <row r="121" spans="1:7" x14ac:dyDescent="0.3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3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Row],[Category]],Categories[Category],Categories[Type],"",0,1)</f>
        <v>Expence</v>
      </c>
      <c r="F122" s="3">
        <v>45504</v>
      </c>
      <c r="G122" s="1">
        <f>MONTH(Operations[[#This Row],[Date]])</f>
        <v>7</v>
      </c>
    </row>
    <row r="123" spans="1:7" x14ac:dyDescent="0.3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Row],[Category]],Categories[Category],Categories[Type],"",0,1)</f>
        <v>Expence</v>
      </c>
      <c r="F123" s="3">
        <v>45505</v>
      </c>
      <c r="G123" s="1">
        <f>MONTH(Operations[[#This Row],[Date]])</f>
        <v>8</v>
      </c>
    </row>
    <row r="124" spans="1:7" x14ac:dyDescent="0.3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Row],[Category]],Categories[Category],Categories[Type],"",0,1)</f>
        <v>Transfer</v>
      </c>
      <c r="F124" s="3">
        <v>45505</v>
      </c>
      <c r="G124" s="1">
        <f>MONTH(Operations[[#This Row],[Date]])</f>
        <v>8</v>
      </c>
    </row>
    <row r="125" spans="1:7" x14ac:dyDescent="0.3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Row],[Category]],Categories[Category],Categories[Type],"",0,1)</f>
        <v>Expence</v>
      </c>
      <c r="F125" s="3">
        <v>45505</v>
      </c>
      <c r="G125" s="1">
        <f>MONTH(Operations[[#This Row],[Date]])</f>
        <v>8</v>
      </c>
    </row>
    <row r="126" spans="1:7" x14ac:dyDescent="0.3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_xlfn.XLOOKUP(Operations[[#This Row],[Category]],Categories[Category],Categories[Type],"",0,1)</f>
        <v>Expence</v>
      </c>
      <c r="F126" s="3">
        <v>45513</v>
      </c>
      <c r="G126" s="1">
        <f>MONTH(Operations[[#This Row],[Date]])</f>
        <v>8</v>
      </c>
    </row>
    <row r="127" spans="1:7" x14ac:dyDescent="0.3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3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_xlfn.XLOOKUP(Operations[[#This Row],[Category]],Categories[Category],Categories[Type],"",0,1)</f>
        <v>Expence</v>
      </c>
      <c r="F128" s="3">
        <v>45515</v>
      </c>
      <c r="G128" s="1">
        <f>MONTH(Operations[[#This Row],[Date]])</f>
        <v>8</v>
      </c>
    </row>
    <row r="129" spans="1:7" x14ac:dyDescent="0.3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Expence</v>
      </c>
      <c r="F129" s="3">
        <v>45518</v>
      </c>
      <c r="G129" s="1">
        <f>MONTH(Operations[[#This Row],[Date]])</f>
        <v>8</v>
      </c>
    </row>
    <row r="130" spans="1:7" x14ac:dyDescent="0.3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_xlfn.XLOOKUP(Operations[[#This Row],[Category]],Categories[Category],Categories[Type],"",0,1)</f>
        <v>Transfer</v>
      </c>
      <c r="F130" s="3">
        <v>45519</v>
      </c>
      <c r="G130" s="1">
        <f>MONTH(Operations[[#This Row],[Date]])</f>
        <v>8</v>
      </c>
    </row>
    <row r="131" spans="1:7" x14ac:dyDescent="0.3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_xlfn.XLOOKUP(Operations[[#This Row],[Category]],Categories[Category],Categories[Type],"",0,1)</f>
        <v>Transfer</v>
      </c>
      <c r="F131" s="3">
        <v>45519</v>
      </c>
      <c r="G131" s="1">
        <f>MONTH(Operations[[#This Row],[Date]])</f>
        <v>8</v>
      </c>
    </row>
    <row r="132" spans="1:7" x14ac:dyDescent="0.3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_xlfn.XLOOKUP(Operations[[#This Row],[Category]],Categories[Category],Categories[Type],"",0,1)</f>
        <v>Expence</v>
      </c>
      <c r="F132" s="3">
        <v>45520</v>
      </c>
      <c r="G132" s="1">
        <f>MONTH(Operations[[#This Row],[Date]])</f>
        <v>8</v>
      </c>
    </row>
    <row r="133" spans="1:7" x14ac:dyDescent="0.3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_xlfn.XLOOKUP(Operations[[#This Row],[Category]],Categories[Category],Categories[Type],"",0,1)</f>
        <v>Expence</v>
      </c>
      <c r="F133" s="3">
        <v>45522</v>
      </c>
      <c r="G133" s="1">
        <f>MONTH(Operations[[#This Row],[Date]])</f>
        <v>8</v>
      </c>
    </row>
    <row r="134" spans="1:7" x14ac:dyDescent="0.3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3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_xlfn.XLOOKUP(Operations[[#This Row],[Category]],Categories[Category],Categories[Type],"",0,1)</f>
        <v>Expence</v>
      </c>
      <c r="F135" s="3">
        <v>45526</v>
      </c>
      <c r="G135" s="1">
        <f>MONTH(Operations[[#This Row],[Date]])</f>
        <v>8</v>
      </c>
    </row>
    <row r="136" spans="1:7" x14ac:dyDescent="0.3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_xlfn.XLOOKUP(Operations[[#This Row],[Category]],Categories[Category],Categories[Type],"",0,1)</f>
        <v>Expence</v>
      </c>
      <c r="F136" s="3">
        <v>45527</v>
      </c>
      <c r="G136" s="1">
        <f>MONTH(Operations[[#This Row],[Date]])</f>
        <v>8</v>
      </c>
    </row>
    <row r="137" spans="1:7" x14ac:dyDescent="0.3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_xlfn.XLOOKUP(Operations[[#This Row],[Category]],Categories[Category],Categories[Type],"",0,1)</f>
        <v>Expence</v>
      </c>
      <c r="F137" s="3">
        <v>45528</v>
      </c>
      <c r="G137" s="1">
        <f>MONTH(Operations[[#This Row],[Date]])</f>
        <v>8</v>
      </c>
    </row>
    <row r="138" spans="1:7" x14ac:dyDescent="0.3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_xlfn.XLOOKUP(Operations[[#This Row],[Category]],Categories[Category],Categories[Type],"",0,1)</f>
        <v>Expence</v>
      </c>
      <c r="F138" s="3">
        <v>45531</v>
      </c>
      <c r="G138" s="1">
        <f>MONTH(Operations[[#This Row],[Date]])</f>
        <v>8</v>
      </c>
    </row>
    <row r="139" spans="1:7" x14ac:dyDescent="0.3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3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3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_xlfn.XLOOKUP(Operations[[#This Row],[Category]],Categories[Category],Categories[Type],"",0,1)</f>
        <v>Expence</v>
      </c>
      <c r="F141" s="3">
        <v>45536</v>
      </c>
      <c r="G141" s="1">
        <f>MONTH(Operations[[#This Row],[Date]])</f>
        <v>9</v>
      </c>
    </row>
    <row r="142" spans="1:7" x14ac:dyDescent="0.3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_xlfn.XLOOKUP(Operations[[#This Row],[Category]],Categories[Category],Categories[Type],"",0,1)</f>
        <v>Expence</v>
      </c>
      <c r="F142" s="3">
        <v>45539</v>
      </c>
      <c r="G142" s="1">
        <f>MONTH(Operations[[#This Row],[Date]])</f>
        <v>9</v>
      </c>
    </row>
    <row r="143" spans="1:7" x14ac:dyDescent="0.3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_xlfn.XLOOKUP(Operations[[#This Row],[Category]],Categories[Category],Categories[Type],"",0,1)</f>
        <v>Expence</v>
      </c>
      <c r="F143" s="3">
        <v>45542</v>
      </c>
      <c r="G143" s="1">
        <f>MONTH(Operations[[#This Row],[Date]])</f>
        <v>9</v>
      </c>
    </row>
    <row r="144" spans="1:7" x14ac:dyDescent="0.3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_xlfn.XLOOKUP(Operations[[#This Row],[Category]],Categories[Category],Categories[Type],"",0,1)</f>
        <v>Expence</v>
      </c>
      <c r="F144" s="3">
        <v>45543</v>
      </c>
      <c r="G144" s="1">
        <f>MONTH(Operations[[#This Row],[Date]])</f>
        <v>9</v>
      </c>
    </row>
    <row r="145" spans="1:7" x14ac:dyDescent="0.3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3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_xlfn.XLOOKUP(Operations[[#This Row],[Category]],Categories[Category],Categories[Type],"",0,1)</f>
        <v>Expence</v>
      </c>
      <c r="F146" s="3">
        <v>45546</v>
      </c>
      <c r="G146" s="1">
        <f>MONTH(Operations[[#This Row],[Date]])</f>
        <v>9</v>
      </c>
    </row>
    <row r="147" spans="1:7" x14ac:dyDescent="0.3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_xlfn.XLOOKUP(Operations[[#This Row],[Category]],Categories[Category],Categories[Type],"",0,1)</f>
        <v>Expence</v>
      </c>
      <c r="F147" s="3">
        <v>45546</v>
      </c>
      <c r="G147" s="1">
        <f>MONTH(Operations[[#This Row],[Date]])</f>
        <v>9</v>
      </c>
    </row>
    <row r="148" spans="1:7" x14ac:dyDescent="0.3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_xlfn.XLOOKUP(Operations[[#This Row],[Category]],Categories[Category],Categories[Type],"",0,1)</f>
        <v>Transfer</v>
      </c>
      <c r="F148" s="3">
        <v>45550</v>
      </c>
      <c r="G148" s="1">
        <f>MONTH(Operations[[#This Row],[Date]])</f>
        <v>9</v>
      </c>
    </row>
    <row r="149" spans="1:7" x14ac:dyDescent="0.3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_xlfn.XLOOKUP(Operations[[#This Row],[Category]],Categories[Category],Categories[Type],"",0,1)</f>
        <v>Transfer</v>
      </c>
      <c r="F149" s="3">
        <v>45550</v>
      </c>
      <c r="G149" s="1">
        <f>MONTH(Operations[[#This Row],[Date]])</f>
        <v>9</v>
      </c>
    </row>
    <row r="150" spans="1:7" x14ac:dyDescent="0.3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_xlfn.XLOOKUP(Operations[[#This Row],[Category]],Categories[Category],Categories[Type],"",0,1)</f>
        <v>Expence</v>
      </c>
      <c r="F150" s="3">
        <v>45553</v>
      </c>
      <c r="G150" s="1">
        <f>MONTH(Operations[[#This Row],[Date]])</f>
        <v>9</v>
      </c>
    </row>
    <row r="151" spans="1:7" x14ac:dyDescent="0.3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_xlfn.XLOOKUP(Operations[[#This Row],[Category]],Categories[Category],Categories[Type],"",0,1)</f>
        <v>Expence</v>
      </c>
      <c r="F151" s="3">
        <v>45566</v>
      </c>
      <c r="G151" s="1">
        <f>MONTH(Operations[[#This Row],[Date]])</f>
        <v>10</v>
      </c>
    </row>
    <row r="152" spans="1:7" x14ac:dyDescent="0.3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_xlfn.XLOOKUP(Operations[[#This Row],[Category]],Categories[Category],Categories[Type],"",0,1)</f>
        <v>Expence</v>
      </c>
      <c r="F152" s="3">
        <v>45572</v>
      </c>
      <c r="G152" s="1">
        <f>MONTH(Operations[[#This Row],[Date]])</f>
        <v>10</v>
      </c>
    </row>
    <row r="153" spans="1:7" x14ac:dyDescent="0.3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_xlfn.XLOOKUP(Operations[[#This Row],[Category]],Categories[Category],Categories[Type],"",0,1)</f>
        <v>Expence</v>
      </c>
      <c r="F153" s="3">
        <v>45573</v>
      </c>
      <c r="G153" s="1">
        <f>MONTH(Operations[[#This Row],[Date]])</f>
        <v>10</v>
      </c>
    </row>
    <row r="154" spans="1:7" x14ac:dyDescent="0.3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3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_xlfn.XLOOKUP(Operations[[#This Row],[Category]],Categories[Category],Categories[Type],"",0,1)</f>
        <v>Expence</v>
      </c>
      <c r="F155" s="3">
        <v>45576</v>
      </c>
      <c r="G155" s="1">
        <f>MONTH(Operations[[#This Row],[Date]])</f>
        <v>10</v>
      </c>
    </row>
    <row r="156" spans="1:7" x14ac:dyDescent="0.3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_xlfn.XLOOKUP(Operations[[#This Row],[Category]],Categories[Category],Categories[Type],"",0,1)</f>
        <v>Expence</v>
      </c>
      <c r="F156" s="3">
        <v>45576</v>
      </c>
      <c r="G156" s="1">
        <f>MONTH(Operations[[#This Row],[Date]])</f>
        <v>10</v>
      </c>
    </row>
    <row r="157" spans="1:7" x14ac:dyDescent="0.3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_xlfn.XLOOKUP(Operations[[#This Row],[Category]],Categories[Category],Categories[Type],"",0,1)</f>
        <v>Transfer</v>
      </c>
      <c r="F157" s="3">
        <v>45580</v>
      </c>
      <c r="G157" s="1">
        <f>MONTH(Operations[[#This Row],[Date]])</f>
        <v>10</v>
      </c>
    </row>
    <row r="158" spans="1:7" x14ac:dyDescent="0.3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_xlfn.XLOOKUP(Operations[[#This Row],[Category]],Categories[Category],Categories[Type],"",0,1)</f>
        <v>Transfer</v>
      </c>
      <c r="F158" s="3">
        <v>45580</v>
      </c>
      <c r="G158" s="1">
        <f>MONTH(Operations[[#This Row],[Date]])</f>
        <v>10</v>
      </c>
    </row>
    <row r="159" spans="1:7" x14ac:dyDescent="0.3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3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_xlfn.XLOOKUP(Operations[[#This Row],[Category]],Categories[Category],Categories[Type],"",0,1)</f>
        <v>Expence</v>
      </c>
      <c r="F160" s="3">
        <v>45607</v>
      </c>
      <c r="G160" s="1">
        <f>MONTH(Operations[[#This Row],[Date]])</f>
        <v>11</v>
      </c>
    </row>
    <row r="161" spans="1:7" x14ac:dyDescent="0.3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_xlfn.XLOOKUP(Operations[[#This Row],[Category]],Categories[Category],Categories[Type],"",0,1)</f>
        <v>Expence</v>
      </c>
      <c r="F161" s="3">
        <v>45607</v>
      </c>
      <c r="G161" s="1">
        <f>MONTH(Operations[[#This Row],[Date]])</f>
        <v>11</v>
      </c>
    </row>
    <row r="162" spans="1:7" x14ac:dyDescent="0.3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_xlfn.XLOOKUP(Operations[[#This Row],[Category]],Categories[Category],Categories[Type],"",0,1)</f>
        <v>Expence</v>
      </c>
      <c r="F162" s="3">
        <v>45607</v>
      </c>
      <c r="G162" s="1">
        <f>MONTH(Operations[[#This Row],[Date]])</f>
        <v>11</v>
      </c>
    </row>
    <row r="163" spans="1:7" x14ac:dyDescent="0.3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_xlfn.XLOOKUP(Operations[[#This Row],[Category]],Categories[Category],Categories[Type],"",0,1)</f>
        <v>Expence</v>
      </c>
      <c r="F163" s="3">
        <v>45608</v>
      </c>
      <c r="G163" s="1">
        <f>MONTH(Operations[[#This Row],[Date]])</f>
        <v>11</v>
      </c>
    </row>
    <row r="164" spans="1:7" x14ac:dyDescent="0.3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Expence</v>
      </c>
      <c r="F164" s="3">
        <v>45610</v>
      </c>
      <c r="G164" s="1">
        <f>MONTH(Operations[[#This Row],[Date]])</f>
        <v>11</v>
      </c>
    </row>
    <row r="165" spans="1:7" x14ac:dyDescent="0.3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_xlfn.XLOOKUP(Operations[[#This Row],[Category]],Categories[Category],Categories[Type],"",0,1)</f>
        <v>Transfer</v>
      </c>
      <c r="F165" s="3">
        <v>45611</v>
      </c>
      <c r="G165" s="1">
        <f>MONTH(Operations[[#This Row],[Date]])</f>
        <v>11</v>
      </c>
    </row>
    <row r="166" spans="1:7" x14ac:dyDescent="0.3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_xlfn.XLOOKUP(Operations[[#This Row],[Category]],Categories[Category],Categories[Type],"",0,1)</f>
        <v>Transfer</v>
      </c>
      <c r="F166" s="3">
        <v>45611</v>
      </c>
      <c r="G166" s="1">
        <f>MONTH(Operations[[#This Row],[Date]])</f>
        <v>11</v>
      </c>
    </row>
    <row r="167" spans="1:7" x14ac:dyDescent="0.3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_xlfn.XLOOKUP(Operations[[#This Row],[Category]],Categories[Category],Categories[Type],"",0,1)</f>
        <v>Expence</v>
      </c>
      <c r="F167" s="3">
        <v>45612</v>
      </c>
      <c r="G167" s="1">
        <f>MONTH(Operations[[#This Row],[Date]])</f>
        <v>11</v>
      </c>
    </row>
    <row r="168" spans="1:7" x14ac:dyDescent="0.3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_xlfn.XLOOKUP(Operations[[#This Row],[Category]],Categories[Category],Categories[Type],"",0,1)</f>
        <v>Expence</v>
      </c>
      <c r="F168" s="3">
        <v>45613</v>
      </c>
      <c r="G168" s="1">
        <f>MONTH(Operations[[#This Row],[Date]])</f>
        <v>11</v>
      </c>
    </row>
    <row r="169" spans="1:7" x14ac:dyDescent="0.3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_xlfn.XLOOKUP(Operations[[#This Row],[Category]],Categories[Category],Categories[Type],"",0,1)</f>
        <v>Expence</v>
      </c>
      <c r="F169" s="3">
        <v>45613</v>
      </c>
      <c r="G169" s="1">
        <f>MONTH(Operations[[#This Row],[Date]])</f>
        <v>11</v>
      </c>
    </row>
    <row r="170" spans="1:7" x14ac:dyDescent="0.3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_xlfn.XLOOKUP(Operations[[#This Row],[Category]],Categories[Category],Categories[Type],"",0,1)</f>
        <v>Expence</v>
      </c>
      <c r="F170" s="3">
        <v>45615</v>
      </c>
      <c r="G170" s="1">
        <f>MONTH(Operations[[#This Row],[Date]])</f>
        <v>11</v>
      </c>
    </row>
    <row r="171" spans="1:7" x14ac:dyDescent="0.3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Expence</v>
      </c>
      <c r="F171" s="3">
        <v>45616</v>
      </c>
      <c r="G171" s="1">
        <f>MONTH(Operations[[#This Row],[Date]])</f>
        <v>11</v>
      </c>
    </row>
    <row r="172" spans="1:7" x14ac:dyDescent="0.3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_xlfn.XLOOKUP(Operations[[#This Row],[Category]],Categories[Category],Categories[Type],"",0,1)</f>
        <v>Expence</v>
      </c>
      <c r="F172" s="3">
        <v>45617</v>
      </c>
      <c r="G172" s="1">
        <f>MONTH(Operations[[#This Row],[Date]])</f>
        <v>11</v>
      </c>
    </row>
    <row r="173" spans="1:7" x14ac:dyDescent="0.3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Expence</v>
      </c>
      <c r="F173" s="3">
        <v>45618</v>
      </c>
      <c r="G173" s="1">
        <f>MONTH(Operations[[#This Row],[Date]])</f>
        <v>11</v>
      </c>
    </row>
    <row r="174" spans="1:7" x14ac:dyDescent="0.3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_xlfn.XLOOKUP(Operations[[#This Row],[Category]],Categories[Category],Categories[Type],"",0,1)</f>
        <v>Expence</v>
      </c>
      <c r="F174" s="3">
        <v>45618</v>
      </c>
      <c r="G174" s="1">
        <f>MONTH(Operations[[#This Row],[Date]])</f>
        <v>11</v>
      </c>
    </row>
    <row r="175" spans="1:7" x14ac:dyDescent="0.3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_xlfn.XLOOKUP(Operations[[#This Row],[Category]],Categories[Category],Categories[Type],"",0,1)</f>
        <v>Expence</v>
      </c>
      <c r="F175" s="3">
        <v>45618</v>
      </c>
      <c r="G175" s="1">
        <f>MONTH(Operations[[#This Row],[Date]])</f>
        <v>11</v>
      </c>
    </row>
    <row r="176" spans="1:7" x14ac:dyDescent="0.3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_xlfn.XLOOKUP(Operations[[#This Row],[Category]],Categories[Category],Categories[Type],"",0,1)</f>
        <v>Expence</v>
      </c>
      <c r="F176" s="3">
        <v>45619</v>
      </c>
      <c r="G176" s="1">
        <f>MONTH(Operations[[#This Row],[Date]])</f>
        <v>11</v>
      </c>
    </row>
    <row r="177" spans="1:7" x14ac:dyDescent="0.3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_xlfn.XLOOKUP(Operations[[#This Row],[Category]],Categories[Category],Categories[Type],"",0,1)</f>
        <v>Expence</v>
      </c>
      <c r="F177" s="3">
        <v>45619</v>
      </c>
      <c r="G177" s="1">
        <f>MONTH(Operations[[#This Row],[Date]])</f>
        <v>11</v>
      </c>
    </row>
    <row r="178" spans="1:7" x14ac:dyDescent="0.3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Expence</v>
      </c>
      <c r="F178" s="3">
        <v>45621</v>
      </c>
      <c r="G178" s="1">
        <f>MONTH(Operations[[#This Row],[Date]])</f>
        <v>11</v>
      </c>
    </row>
    <row r="179" spans="1:7" x14ac:dyDescent="0.3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_xlfn.XLOOKUP(Operations[[#This Row],[Category]],Categories[Category],Categories[Type],"",0,1)</f>
        <v>Expence</v>
      </c>
      <c r="F179" s="3">
        <v>45622</v>
      </c>
      <c r="G179" s="1">
        <f>MONTH(Operations[[#This Row],[Date]])</f>
        <v>11</v>
      </c>
    </row>
    <row r="180" spans="1:7" x14ac:dyDescent="0.3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_xlfn.XLOOKUP(Operations[[#This Row],[Category]],Categories[Category],Categories[Type],"",0,1)</f>
        <v>Expence</v>
      </c>
      <c r="F180" s="3">
        <v>45623</v>
      </c>
      <c r="G180" s="1">
        <f>MONTH(Operations[[#This Row],[Date]])</f>
        <v>11</v>
      </c>
    </row>
    <row r="181" spans="1:7" x14ac:dyDescent="0.3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Expence</v>
      </c>
      <c r="F181" s="3">
        <v>45623</v>
      </c>
      <c r="G181" s="1">
        <f>MONTH(Operations[[#This Row],[Date]])</f>
        <v>11</v>
      </c>
    </row>
    <row r="182" spans="1:7" x14ac:dyDescent="0.3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_xlfn.XLOOKUP(Operations[[#This Row],[Category]],Categories[Category],Categories[Type],"",0,1)</f>
        <v>Expence</v>
      </c>
      <c r="F182" s="3">
        <v>45623</v>
      </c>
      <c r="G182" s="1">
        <f>MONTH(Operations[[#This Row],[Date]])</f>
        <v>11</v>
      </c>
    </row>
    <row r="183" spans="1:7" x14ac:dyDescent="0.3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_xlfn.XLOOKUP(Operations[[#This Row],[Category]],Categories[Category],Categories[Type],"",0,1)</f>
        <v>Expence</v>
      </c>
      <c r="F183" s="3">
        <v>45624</v>
      </c>
      <c r="G183" s="1">
        <f>MONTH(Operations[[#This Row],[Date]])</f>
        <v>11</v>
      </c>
    </row>
    <row r="184" spans="1:7" x14ac:dyDescent="0.3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3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_xlfn.XLOOKUP(Operations[[#This Row],[Category]],Categories[Category],Categories[Type],"",0,1)</f>
        <v>Expence</v>
      </c>
      <c r="F185" s="3">
        <v>45626</v>
      </c>
      <c r="G185" s="1">
        <f>MONTH(Operations[[#This Row],[Date]])</f>
        <v>11</v>
      </c>
    </row>
    <row r="186" spans="1:7" x14ac:dyDescent="0.3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Row],[Category]],Categories[Category],Categories[Type],"",0,1)</f>
        <v>Expence</v>
      </c>
      <c r="F186" s="3">
        <v>45627</v>
      </c>
      <c r="G186" s="1">
        <f>MONTH(Operations[[#This Row],[Date]])</f>
        <v>12</v>
      </c>
    </row>
    <row r="187" spans="1:7" x14ac:dyDescent="0.3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Row],[Category]],Categories[Category],Categories[Type],"",0,1)</f>
        <v>Expence</v>
      </c>
      <c r="F187" s="3">
        <v>45627</v>
      </c>
      <c r="G187" s="1">
        <f>MONTH(Operations[[#This Row],[Date]])</f>
        <v>12</v>
      </c>
    </row>
    <row r="188" spans="1:7" x14ac:dyDescent="0.3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_xlfn.XLOOKUP(Operations[[#This Row],[Category]],Categories[Category],Categories[Type],"",0,1)</f>
        <v>Expence</v>
      </c>
      <c r="F188" s="3">
        <v>45628</v>
      </c>
      <c r="G188" s="1">
        <f>MONTH(Operations[[#This Row],[Date]])</f>
        <v>12</v>
      </c>
    </row>
    <row r="189" spans="1:7" x14ac:dyDescent="0.3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_xlfn.XLOOKUP(Operations[[#This Row],[Category]],Categories[Category],Categories[Type],"",0,1)</f>
        <v>Expence</v>
      </c>
      <c r="F189" s="3">
        <v>45628</v>
      </c>
      <c r="G189" s="1">
        <f>MONTH(Operations[[#This Row],[Date]])</f>
        <v>12</v>
      </c>
    </row>
    <row r="190" spans="1:7" x14ac:dyDescent="0.3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Expence</v>
      </c>
      <c r="F190" s="3">
        <v>45628</v>
      </c>
      <c r="G190" s="1">
        <f>MONTH(Operations[[#This Row],[Date]])</f>
        <v>12</v>
      </c>
    </row>
    <row r="191" spans="1:7" x14ac:dyDescent="0.3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_xlfn.XLOOKUP(Operations[[#This Row],[Category]],Categories[Category],Categories[Type],"",0,1)</f>
        <v>Expence</v>
      </c>
      <c r="F191" s="3">
        <v>45628</v>
      </c>
      <c r="G191" s="1">
        <f>MONTH(Operations[[#This Row],[Date]])</f>
        <v>12</v>
      </c>
    </row>
    <row r="192" spans="1:7" x14ac:dyDescent="0.3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_xlfn.XLOOKUP(Operations[[#This Row],[Category]],Categories[Category],Categories[Type],"",0,1)</f>
        <v>Expence</v>
      </c>
      <c r="F192" s="3">
        <v>45628</v>
      </c>
      <c r="G192" s="1">
        <f>MONTH(Operations[[#This Row],[Date]])</f>
        <v>12</v>
      </c>
    </row>
    <row r="193" spans="1:7" x14ac:dyDescent="0.3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Expence</v>
      </c>
      <c r="F193" s="3">
        <v>45628</v>
      </c>
      <c r="G193" s="1">
        <f>MONTH(Operations[[#This Row],[Date]])</f>
        <v>12</v>
      </c>
    </row>
    <row r="194" spans="1:7" x14ac:dyDescent="0.3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Expence</v>
      </c>
      <c r="F194" s="3">
        <v>45629</v>
      </c>
      <c r="G194" s="1">
        <f>MONTH(Operations[[#This Row],[Date]])</f>
        <v>12</v>
      </c>
    </row>
    <row r="195" spans="1:7" x14ac:dyDescent="0.3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Expence</v>
      </c>
      <c r="F195" s="3">
        <v>45629</v>
      </c>
      <c r="G195" s="1">
        <f>MONTH(Operations[[#This Row],[Date]])</f>
        <v>12</v>
      </c>
    </row>
    <row r="196" spans="1:7" x14ac:dyDescent="0.3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_xlfn.XLOOKUP(Operations[[#This Row],[Category]],Categories[Category],Categories[Type],"",0,1)</f>
        <v>Expence</v>
      </c>
      <c r="F196" s="3">
        <v>45632</v>
      </c>
      <c r="G196" s="1">
        <f>MONTH(Operations[[#This Row],[Date]])</f>
        <v>12</v>
      </c>
    </row>
    <row r="197" spans="1:7" x14ac:dyDescent="0.3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Row],[Category]],Categories[Category],Categories[Type],"",0,1)</f>
        <v>Expence</v>
      </c>
      <c r="F197" s="3">
        <v>45632</v>
      </c>
      <c r="G197" s="1">
        <f>MONTH(Operations[[#This Row],[Date]])</f>
        <v>12</v>
      </c>
    </row>
    <row r="198" spans="1:7" x14ac:dyDescent="0.3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3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_xlfn.XLOOKUP(Operations[[#This Row],[Category]],Categories[Category],Categories[Type],"",0,1)</f>
        <v>Expence</v>
      </c>
      <c r="F199" s="3">
        <v>45637</v>
      </c>
      <c r="G199" s="1">
        <f>MONTH(Operations[[#This Row],[Date]])</f>
        <v>12</v>
      </c>
    </row>
    <row r="200" spans="1:7" x14ac:dyDescent="0.3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Expence</v>
      </c>
      <c r="F200" s="3">
        <v>45640</v>
      </c>
      <c r="G200" s="1">
        <f>MONTH(Operations[[#This Row],[Date]])</f>
        <v>12</v>
      </c>
    </row>
    <row r="201" spans="1:7" x14ac:dyDescent="0.3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Expence</v>
      </c>
      <c r="F201" s="3">
        <v>45641</v>
      </c>
      <c r="G201" s="1">
        <f>MONTH(Operations[[#This Row],[Date]])</f>
        <v>12</v>
      </c>
    </row>
    <row r="202" spans="1:7" x14ac:dyDescent="0.3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_xlfn.XLOOKUP(Operations[[#This Row],[Category]],Categories[Category],Categories[Type],"",0,1)</f>
        <v>Expence</v>
      </c>
      <c r="F202" s="3">
        <v>45644</v>
      </c>
      <c r="G202" s="1">
        <f>MONTH(Operations[[#This Row],[Date]])</f>
        <v>12</v>
      </c>
    </row>
    <row r="203" spans="1:7" x14ac:dyDescent="0.3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3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_xlfn.XLOOKUP(Operations[[#This Row],[Category]],Categories[Category],Categories[Type],"",0,1)</f>
        <v>Expence</v>
      </c>
      <c r="F204" s="3">
        <v>45649</v>
      </c>
      <c r="G204" s="1">
        <f>MONTH(Operations[[#This Row],[Date]])</f>
        <v>12</v>
      </c>
    </row>
    <row r="205" spans="1:7" x14ac:dyDescent="0.3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3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_xlfn.XLOOKUP(Operations[[#This Row],[Category]],Categories[Category],Categories[Type],"",0,1)</f>
        <v>Expence</v>
      </c>
      <c r="F206" s="3">
        <v>45654</v>
      </c>
      <c r="G206" s="1">
        <f>MONTH(Operations[[#This Row],[Date]])</f>
        <v>12</v>
      </c>
    </row>
    <row r="207" spans="1:7" x14ac:dyDescent="0.3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_xlfn.XLOOKUP(Operations[[#This Row],[Category]],Categories[Category],Categories[Type],"",0,1)</f>
        <v>Expence</v>
      </c>
      <c r="F207" s="3">
        <v>45656</v>
      </c>
      <c r="G207" s="1">
        <f>MONTH(Operations[[#This Row],[Date]])</f>
        <v>12</v>
      </c>
    </row>
    <row r="208" spans="1:7" x14ac:dyDescent="0.3">
      <c r="A208" s="2">
        <v>1020</v>
      </c>
      <c r="B208" s="1" t="s">
        <v>7</v>
      </c>
      <c r="C208" s="1" t="s">
        <v>8</v>
      </c>
      <c r="D208" s="1" t="s">
        <v>31</v>
      </c>
      <c r="E208" s="1" t="str">
        <f>_xlfn.XLOOKUP(Operations[[#This Row],[Category]],Categories[Category],Categories[Type],"",0,1)</f>
        <v>Transfer</v>
      </c>
      <c r="F208" s="3">
        <v>45505</v>
      </c>
      <c r="G208" s="1">
        <f>MONTH(Operations[[#This Row],[Date]])</f>
        <v>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FFA098-FEFE-4C7B-B57C-CF47A67387AF}">
          <x14:formula1>
            <xm:f>dictionary!$A$2:$A$17</xm:f>
          </x14:formula1>
          <xm:sqref>D1:D1048576</xm:sqref>
        </x14:dataValidation>
        <x14:dataValidation type="list" allowBlank="1" showInputMessage="1" showErrorMessage="1" xr:uid="{D187FE4F-7BE8-4DA8-BF41-B8E9821959C6}">
          <x14:formula1>
            <xm:f>dictionary!$G$1:$I$1</xm:f>
          </x14:formula1>
          <xm:sqref>B2:B1048576</xm:sqref>
        </x14:dataValidation>
        <x14:dataValidation type="list" allowBlank="1" showInputMessage="1" showErrorMessage="1" xr:uid="{61B5845D-471B-4438-A858-7CD8EB1D6837}">
          <x14:formula1>
            <xm:f>CHOOSE(MATCH(B2,dictionary!$G$1:$I$1,0),_xlfn._TRO_TRAILING(dictionary!$G$2:$G$8),_xlfn._TRO_TRAILING(dictionary!$H$2:$H$8),_xlfn._TRO_TRAILING(dictionary!$I$2:$I$8))</xm:f>
          </x14:formula1>
          <xm:sqref>C2:C208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8EAA-AB57-4488-B7CB-0E1FF975A930}">
  <dimension ref="A1:O18"/>
  <sheetViews>
    <sheetView workbookViewId="0">
      <selection activeCell="E25" sqref="E25"/>
    </sheetView>
  </sheetViews>
  <sheetFormatPr defaultRowHeight="14.4" x14ac:dyDescent="0.3"/>
  <cols>
    <col min="1" max="1" width="10.44140625" customWidth="1"/>
    <col min="2" max="2" width="12.109375" customWidth="1"/>
    <col min="3" max="3" width="11.5546875" customWidth="1"/>
    <col min="4" max="14" width="11.6640625" customWidth="1"/>
    <col min="15" max="15" width="13.21875" customWidth="1"/>
  </cols>
  <sheetData>
    <row r="1" spans="1:15" x14ac:dyDescent="0.3">
      <c r="A1" s="15" t="s">
        <v>3</v>
      </c>
      <c r="B1" s="15" t="s">
        <v>4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  <c r="K1" s="15" t="s">
        <v>47</v>
      </c>
      <c r="L1" s="15" t="s">
        <v>48</v>
      </c>
      <c r="M1" s="15" t="s">
        <v>49</v>
      </c>
      <c r="N1" s="15" t="s">
        <v>50</v>
      </c>
      <c r="O1" s="15" t="s">
        <v>36</v>
      </c>
    </row>
    <row r="2" spans="1:15" x14ac:dyDescent="0.3">
      <c r="A2" t="s">
        <v>18</v>
      </c>
      <c r="B2" t="s">
        <v>32</v>
      </c>
      <c r="C2" s="9" cm="1">
        <f t="array" ref="C2">SUMIFS(Operations[[Amount]:[Amount]],Operations[[Category]:[Category]],Summary1[[#This Row],[Category]:[Category]],Operations[[Month]:[Month]],Summary1[[#Headers],[1]])</f>
        <v>-2000</v>
      </c>
      <c r="D2" s="9" cm="1">
        <f t="array" ref="D2">SUMIFS(Operations[[Amount]:[Amount]],Operations[[Category]:[Category]],Summary1[[#This Row],[Category]:[Category]],Operations[[Month]:[Month]],Summary1[[#Headers],[2]])</f>
        <v>-2000</v>
      </c>
      <c r="E2" s="9" cm="1">
        <f t="array" ref="E2">SUMIFS(Operations[[Amount]:[Amount]],Operations[[Category]:[Category]],Summary1[[#This Row],[Category]:[Category]],Operations[[Month]:[Month]],Summary1[[#Headers],[3]])</f>
        <v>-2000</v>
      </c>
      <c r="F2" s="9" cm="1">
        <f t="array" ref="F2">SUMIFS(Operations[[Amount]:[Amount]],Operations[[Category]:[Category]],Summary1[[#This Row],[Category]:[Category]],Operations[[Month]:[Month]],Summary1[[#Headers],[4]])</f>
        <v>-2000</v>
      </c>
      <c r="G2" s="9" cm="1">
        <f t="array" ref="G2">SUMIFS(Operations[[Amount]:[Amount]],Operations[[Category]:[Category]],Summary1[[#This Row],[Category]:[Category]],Operations[[Month]:[Month]],Summary1[[#Headers],[5]])</f>
        <v>-2000</v>
      </c>
      <c r="H2" s="9" cm="1">
        <f t="array" ref="H2">SUMIFS(Operations[[Amount]:[Amount]],Operations[[Category]:[Category]],Summary1[[#This Row],[Category]:[Category]],Operations[[Month]:[Month]],Summary1[[#Headers],[6]])</f>
        <v>-2000</v>
      </c>
      <c r="I2" s="9" cm="1">
        <f t="array" ref="I2">SUMIFS(Operations[[Amount]:[Amount]],Operations[[Category]:[Category]],Summary1[[#This Row],[Category]:[Category]],Operations[[Month]:[Month]],Summary1[[#Headers],[7]])</f>
        <v>-2000</v>
      </c>
      <c r="J2" s="9" cm="1">
        <f t="array" ref="J2">SUMIFS(Operations[[Amount]:[Amount]],Operations[[Category]:[Category]],Summary1[[#This Row],[Category]:[Category]],Operations[[Month]:[Month]],Summary1[[#Headers],[8]])</f>
        <v>-2000</v>
      </c>
      <c r="K2" s="9" cm="1">
        <f t="array" ref="K2">SUMIFS(Operations[[Amount]:[Amount]],Operations[[Category]:[Category]],Summary1[[#This Row],[Category]:[Category]],Operations[[Month]:[Month]],Summary1[[#Headers],[9]])</f>
        <v>-2000</v>
      </c>
      <c r="L2" s="9" cm="1">
        <f t="array" ref="L2">SUMIFS(Operations[[Amount]:[Amount]],Operations[[Category]:[Category]],Summary1[[#This Row],[Category]:[Category]],Operations[[Month]:[Month]],Summary1[[#Headers],[10]])</f>
        <v>-2000</v>
      </c>
      <c r="M2" s="9" cm="1">
        <f t="array" ref="M2">SUMIFS(Operations[[Amount]:[Amount]],Operations[[Category]:[Category]],Summary1[[#This Row],[Category]:[Category]],Operations[[Month]:[Month]],Summary1[[#Headers],[11]])</f>
        <v>-2000</v>
      </c>
      <c r="N2" s="9" cm="1">
        <f t="array" ref="N2">SUMIFS(Operations[[Amount]:[Amount]],Operations[[Category]:[Category]],Summary1[[#This Row],[Category]:[Category]],Operations[[Month]:[Month]],Summary1[[#Headers],[12]])</f>
        <v>-2000</v>
      </c>
      <c r="O2" s="9">
        <f>SUM(Summary1[[#This Row],[1]:[12]])</f>
        <v>-24000</v>
      </c>
    </row>
    <row r="3" spans="1:15" x14ac:dyDescent="0.3">
      <c r="A3" t="s">
        <v>22</v>
      </c>
      <c r="B3" t="s">
        <v>32</v>
      </c>
      <c r="C3" s="9" cm="1">
        <f t="array" ref="C3">SUMIFS(Operations[[Amount]:[Amount]],Operations[[Category]:[Category]],Summary1[[#This Row],[Category]:[Category]],Operations[[Month]:[Month]],Summary1[[#Headers],[1]])</f>
        <v>-80</v>
      </c>
      <c r="D3" s="9" cm="1">
        <f t="array" ref="D3">SUMIFS(Operations[[Amount]:[Amount]],Operations[[Category]:[Category]],Summary1[[#This Row],[Category]:[Category]],Operations[[Month]:[Month]],Summary1[[#Headers],[2]])</f>
        <v>0</v>
      </c>
      <c r="E3" s="9" cm="1">
        <f t="array" ref="E3">SUMIFS(Operations[[Amount]:[Amount]],Operations[[Category]:[Category]],Summary1[[#This Row],[Category]:[Category]],Operations[[Month]:[Month]],Summary1[[#Headers],[3]])</f>
        <v>-469.9</v>
      </c>
      <c r="F3" s="9" cm="1">
        <f t="array" ref="F3">SUMIFS(Operations[[Amount]:[Amount]],Operations[[Category]:[Category]],Summary1[[#This Row],[Category]:[Category]],Operations[[Month]:[Month]],Summary1[[#Headers],[4]])</f>
        <v>-149</v>
      </c>
      <c r="G3" s="9" cm="1">
        <f t="array" ref="G3">SUMIFS(Operations[[Amount]:[Amount]],Operations[[Category]:[Category]],Summary1[[#This Row],[Category]:[Category]],Operations[[Month]:[Month]],Summary1[[#Headers],[5]])</f>
        <v>0</v>
      </c>
      <c r="H3" s="9" cm="1">
        <f t="array" ref="H3">SUMIFS(Operations[[Amount]:[Amount]],Operations[[Category]:[Category]],Summary1[[#This Row],[Category]:[Category]],Operations[[Month]:[Month]],Summary1[[#Headers],[6]])</f>
        <v>-300</v>
      </c>
      <c r="I3" s="9" cm="1">
        <f t="array" ref="I3">SUMIFS(Operations[[Amount]:[Amount]],Operations[[Category]:[Category]],Summary1[[#This Row],[Category]:[Category]],Operations[[Month]:[Month]],Summary1[[#Headers],[7]])</f>
        <v>-250</v>
      </c>
      <c r="J3" s="9" cm="1">
        <f t="array" ref="J3">SUMIFS(Operations[[Amount]:[Amount]],Operations[[Category]:[Category]],Summary1[[#This Row],[Category]:[Category]],Operations[[Month]:[Month]],Summary1[[#Headers],[8]])</f>
        <v>-300</v>
      </c>
      <c r="K3" s="9" cm="1">
        <f t="array" ref="K3">SUMIFS(Operations[[Amount]:[Amount]],Operations[[Category]:[Category]],Summary1[[#This Row],[Category]:[Category]],Operations[[Month]:[Month]],Summary1[[#Headers],[9]])</f>
        <v>0</v>
      </c>
      <c r="L3" s="9" cm="1">
        <f t="array" ref="L3">SUMIFS(Operations[[Amount]:[Amount]],Operations[[Category]:[Category]],Summary1[[#This Row],[Category]:[Category]],Operations[[Month]:[Month]],Summary1[[#Headers],[10]])</f>
        <v>0</v>
      </c>
      <c r="M3" s="9" cm="1">
        <f t="array" ref="M3">SUMIFS(Operations[[Amount]:[Amount]],Operations[[Category]:[Category]],Summary1[[#This Row],[Category]:[Category]],Operations[[Month]:[Month]],Summary1[[#Headers],[11]])</f>
        <v>-158</v>
      </c>
      <c r="N3" s="9" cm="1">
        <f t="array" ref="N3">SUMIFS(Operations[[Amount]:[Amount]],Operations[[Category]:[Category]],Summary1[[#This Row],[Category]:[Category]],Operations[[Month]:[Month]],Summary1[[#Headers],[12]])</f>
        <v>-120</v>
      </c>
      <c r="O3" s="9">
        <f>SUM(Summary1[[#This Row],[1]:[12]])</f>
        <v>-1826.9</v>
      </c>
    </row>
    <row r="4" spans="1:15" x14ac:dyDescent="0.3">
      <c r="A4" t="s">
        <v>20</v>
      </c>
      <c r="B4" t="s">
        <v>32</v>
      </c>
      <c r="C4" s="9" cm="1">
        <f t="array" ref="C4">SUMIFS(Operations[[Amount]:[Amount]],Operations[[Category]:[Category]],Summary1[[#This Row],[Category]:[Category]],Operations[[Month]:[Month]],Summary1[[#Headers],[1]])</f>
        <v>-85</v>
      </c>
      <c r="D4" s="9" cm="1">
        <f t="array" ref="D4">SUMIFS(Operations[[Amount]:[Amount]],Operations[[Category]:[Category]],Summary1[[#This Row],[Category]:[Category]],Operations[[Month]:[Month]],Summary1[[#Headers],[2]])</f>
        <v>-350</v>
      </c>
      <c r="E4" s="9" cm="1">
        <f t="array" ref="E4">SUMIFS(Operations[[Amount]:[Amount]],Operations[[Category]:[Category]],Summary1[[#This Row],[Category]:[Category]],Operations[[Month]:[Month]],Summary1[[#Headers],[3]])</f>
        <v>-200</v>
      </c>
      <c r="F4" s="9" cm="1">
        <f t="array" ref="F4">SUMIFS(Operations[[Amount]:[Amount]],Operations[[Category]:[Category]],Summary1[[#This Row],[Category]:[Category]],Operations[[Month]:[Month]],Summary1[[#Headers],[4]])</f>
        <v>-1057.9000000000001</v>
      </c>
      <c r="G4" s="9" cm="1">
        <f t="array" ref="G4">SUMIFS(Operations[[Amount]:[Amount]],Operations[[Category]:[Category]],Summary1[[#This Row],[Category]:[Category]],Operations[[Month]:[Month]],Summary1[[#Headers],[5]])</f>
        <v>-80</v>
      </c>
      <c r="H4" s="9" cm="1">
        <f t="array" ref="H4">SUMIFS(Operations[[Amount]:[Amount]],Operations[[Category]:[Category]],Summary1[[#This Row],[Category]:[Category]],Operations[[Month]:[Month]],Summary1[[#Headers],[6]])</f>
        <v>-200</v>
      </c>
      <c r="I4" s="9" cm="1">
        <f t="array" ref="I4">SUMIFS(Operations[[Amount]:[Amount]],Operations[[Category]:[Category]],Summary1[[#This Row],[Category]:[Category]],Operations[[Month]:[Month]],Summary1[[#Headers],[7]])</f>
        <v>-700</v>
      </c>
      <c r="J4" s="9" cm="1">
        <f t="array" ref="J4">SUMIFS(Operations[[Amount]:[Amount]],Operations[[Category]:[Category]],Summary1[[#This Row],[Category]:[Category]],Operations[[Month]:[Month]],Summary1[[#Headers],[8]])</f>
        <v>-250</v>
      </c>
      <c r="K4" s="9" cm="1">
        <f t="array" ref="K4">SUMIFS(Operations[[Amount]:[Amount]],Operations[[Category]:[Category]],Summary1[[#This Row],[Category]:[Category]],Operations[[Month]:[Month]],Summary1[[#Headers],[9]])</f>
        <v>-20</v>
      </c>
      <c r="L4" s="9" cm="1">
        <f t="array" ref="L4">SUMIFS(Operations[[Amount]:[Amount]],Operations[[Category]:[Category]],Summary1[[#This Row],[Category]:[Category]],Operations[[Month]:[Month]],Summary1[[#Headers],[10]])</f>
        <v>-40</v>
      </c>
      <c r="M4" s="9" cm="1">
        <f t="array" ref="M4">SUMIFS(Operations[[Amount]:[Amount]],Operations[[Category]:[Category]],Summary1[[#This Row],[Category]:[Category]],Operations[[Month]:[Month]],Summary1[[#Headers],[11]])</f>
        <v>-214</v>
      </c>
      <c r="N4" s="9" cm="1">
        <f t="array" ref="N4">SUMIFS(Operations[[Amount]:[Amount]],Operations[[Category]:[Category]],Summary1[[#This Row],[Category]:[Category]],Operations[[Month]:[Month]],Summary1[[#Headers],[12]])</f>
        <v>-450</v>
      </c>
      <c r="O4" s="9">
        <f>SUM(Summary1[[#This Row],[1]:[12]])</f>
        <v>-3646.9</v>
      </c>
    </row>
    <row r="5" spans="1:15" x14ac:dyDescent="0.3">
      <c r="A5" t="s">
        <v>17</v>
      </c>
      <c r="B5" t="s">
        <v>32</v>
      </c>
      <c r="C5" s="9" cm="1">
        <f t="array" ref="C5">SUMIFS(Operations[[Amount]:[Amount]],Operations[[Category]:[Category]],Summary1[[#This Row],[Category]:[Category]],Operations[[Month]:[Month]],Summary1[[#Headers],[1]])</f>
        <v>-1715</v>
      </c>
      <c r="D5" s="9" cm="1">
        <f t="array" ref="D5">SUMIFS(Operations[[Amount]:[Amount]],Operations[[Category]:[Category]],Summary1[[#This Row],[Category]:[Category]],Operations[[Month]:[Month]],Summary1[[#Headers],[2]])</f>
        <v>-405.5</v>
      </c>
      <c r="E5" s="9" cm="1">
        <f t="array" ref="E5">SUMIFS(Operations[[Amount]:[Amount]],Operations[[Category]:[Category]],Summary1[[#This Row],[Category]:[Category]],Operations[[Month]:[Month]],Summary1[[#Headers],[3]])</f>
        <v>-734.99</v>
      </c>
      <c r="F5" s="9" cm="1">
        <f t="array" ref="F5">SUMIFS(Operations[[Amount]:[Amount]],Operations[[Category]:[Category]],Summary1[[#This Row],[Category]:[Category]],Operations[[Month]:[Month]],Summary1[[#Headers],[4]])</f>
        <v>-372.26</v>
      </c>
      <c r="G5" s="9" cm="1">
        <f t="array" ref="G5">SUMIFS(Operations[[Amount]:[Amount]],Operations[[Category]:[Category]],Summary1[[#This Row],[Category]:[Category]],Operations[[Month]:[Month]],Summary1[[#Headers],[5]])</f>
        <v>-1000</v>
      </c>
      <c r="H5" s="9" cm="1">
        <f t="array" ref="H5">SUMIFS(Operations[[Amount]:[Amount]],Operations[[Category]:[Category]],Summary1[[#This Row],[Category]:[Category]],Operations[[Month]:[Month]],Summary1[[#Headers],[6]])</f>
        <v>-1000</v>
      </c>
      <c r="I5" s="9" cm="1">
        <f t="array" ref="I5">SUMIFS(Operations[[Amount]:[Amount]],Operations[[Category]:[Category]],Summary1[[#This Row],[Category]:[Category]],Operations[[Month]:[Month]],Summary1[[#Headers],[7]])</f>
        <v>-165</v>
      </c>
      <c r="J5" s="9" cm="1">
        <f t="array" ref="J5">SUMIFS(Operations[[Amount]:[Amount]],Operations[[Category]:[Category]],Summary1[[#This Row],[Category]:[Category]],Operations[[Month]:[Month]],Summary1[[#Headers],[8]])</f>
        <v>-749.5</v>
      </c>
      <c r="K5" s="9" cm="1">
        <f t="array" ref="K5">SUMIFS(Operations[[Amount]:[Amount]],Operations[[Category]:[Category]],Summary1[[#This Row],[Category]:[Category]],Operations[[Month]:[Month]],Summary1[[#Headers],[9]])</f>
        <v>-538.5</v>
      </c>
      <c r="L5" s="9" cm="1">
        <f t="array" ref="L5">SUMIFS(Operations[[Amount]:[Amount]],Operations[[Category]:[Category]],Summary1[[#This Row],[Category]:[Category]],Operations[[Month]:[Month]],Summary1[[#Headers],[10]])</f>
        <v>-600</v>
      </c>
      <c r="M5" s="9" cm="1">
        <f t="array" ref="M5">SUMIFS(Operations[[Amount]:[Amount]],Operations[[Category]:[Category]],Summary1[[#This Row],[Category]:[Category]],Operations[[Month]:[Month]],Summary1[[#Headers],[11]])</f>
        <v>-506</v>
      </c>
      <c r="N5" s="9" cm="1">
        <f t="array" ref="N5">SUMIFS(Operations[[Amount]:[Amount]],Operations[[Category]:[Category]],Summary1[[#This Row],[Category]:[Category]],Operations[[Month]:[Month]],Summary1[[#Headers],[12]])</f>
        <v>-700</v>
      </c>
      <c r="O5" s="9">
        <f>SUM(Summary1[[#This Row],[1]:[12]])</f>
        <v>-8486.75</v>
      </c>
    </row>
    <row r="6" spans="1:15" x14ac:dyDescent="0.3">
      <c r="A6" t="s">
        <v>21</v>
      </c>
      <c r="B6" t="s">
        <v>32</v>
      </c>
      <c r="C6" s="9" cm="1">
        <f t="array" ref="C6">SUMIFS(Operations[[Amount]:[Amount]],Operations[[Category]:[Category]],Summary1[[#This Row],[Category]:[Category]],Operations[[Month]:[Month]],Summary1[[#Headers],[1]])</f>
        <v>-100</v>
      </c>
      <c r="D6" s="9" cm="1">
        <f t="array" ref="D6">SUMIFS(Operations[[Amount]:[Amount]],Operations[[Category]:[Category]],Summary1[[#This Row],[Category]:[Category]],Operations[[Month]:[Month]],Summary1[[#Headers],[2]])</f>
        <v>-250</v>
      </c>
      <c r="E6" s="9" cm="1">
        <f t="array" ref="E6">SUMIFS(Operations[[Amount]:[Amount]],Operations[[Category]:[Category]],Summary1[[#This Row],[Category]:[Category]],Operations[[Month]:[Month]],Summary1[[#Headers],[3]])</f>
        <v>-9.5</v>
      </c>
      <c r="F6" s="9" cm="1">
        <f t="array" ref="F6">SUMIFS(Operations[[Amount]:[Amount]],Operations[[Category]:[Category]],Summary1[[#This Row],[Category]:[Category]],Operations[[Month]:[Month]],Summary1[[#Headers],[4]])</f>
        <v>-23.5</v>
      </c>
      <c r="G6" s="9" cm="1">
        <f t="array" ref="G6">SUMIFS(Operations[[Amount]:[Amount]],Operations[[Category]:[Category]],Summary1[[#This Row],[Category]:[Category]],Operations[[Month]:[Month]],Summary1[[#Headers],[5]])</f>
        <v>0</v>
      </c>
      <c r="H6" s="9" cm="1">
        <f t="array" ref="H6">SUMIFS(Operations[[Amount]:[Amount]],Operations[[Category]:[Category]],Summary1[[#This Row],[Category]:[Category]],Operations[[Month]:[Month]],Summary1[[#Headers],[6]])</f>
        <v>-100</v>
      </c>
      <c r="I6" s="9" cm="1">
        <f t="array" ref="I6">SUMIFS(Operations[[Amount]:[Amount]],Operations[[Category]:[Category]],Summary1[[#This Row],[Category]:[Category]],Operations[[Month]:[Month]],Summary1[[#Headers],[7]])</f>
        <v>-300</v>
      </c>
      <c r="J6" s="9" cm="1">
        <f t="array" ref="J6">SUMIFS(Operations[[Amount]:[Amount]],Operations[[Category]:[Category]],Summary1[[#This Row],[Category]:[Category]],Operations[[Month]:[Month]],Summary1[[#Headers],[8]])</f>
        <v>-400</v>
      </c>
      <c r="K6" s="9" cm="1">
        <f t="array" ref="K6">SUMIFS(Operations[[Amount]:[Amount]],Operations[[Category]:[Category]],Summary1[[#This Row],[Category]:[Category]],Operations[[Month]:[Month]],Summary1[[#Headers],[9]])</f>
        <v>0</v>
      </c>
      <c r="L6" s="9" cm="1">
        <f t="array" ref="L6">SUMIFS(Operations[[Amount]:[Amount]],Operations[[Category]:[Category]],Summary1[[#This Row],[Category]:[Category]],Operations[[Month]:[Month]],Summary1[[#Headers],[10]])</f>
        <v>0</v>
      </c>
      <c r="M6" s="9" cm="1">
        <f t="array" ref="M6">SUMIFS(Operations[[Amount]:[Amount]],Operations[[Category]:[Category]],Summary1[[#This Row],[Category]:[Category]],Operations[[Month]:[Month]],Summary1[[#Headers],[11]])</f>
        <v>-133</v>
      </c>
      <c r="N6" s="9" cm="1">
        <f t="array" ref="N6">SUMIFS(Operations[[Amount]:[Amount]],Operations[[Category]:[Category]],Summary1[[#This Row],[Category]:[Category]],Operations[[Month]:[Month]],Summary1[[#Headers],[12]])</f>
        <v>-10</v>
      </c>
      <c r="O6" s="9">
        <f>SUM(Summary1[[#This Row],[1]:[12]])</f>
        <v>-1326</v>
      </c>
    </row>
    <row r="7" spans="1:15" x14ac:dyDescent="0.3">
      <c r="A7" t="s">
        <v>19</v>
      </c>
      <c r="B7" t="s">
        <v>32</v>
      </c>
      <c r="C7" s="9" cm="1">
        <f t="array" ref="C7">SUMIFS(Operations[[Amount]:[Amount]],Operations[[Category]:[Category]],Summary1[[#This Row],[Category]:[Category]],Operations[[Month]:[Month]],Summary1[[#Headers],[1]])</f>
        <v>-150</v>
      </c>
      <c r="D7" s="9" cm="1">
        <f t="array" ref="D7">SUMIFS(Operations[[Amount]:[Amount]],Operations[[Category]:[Category]],Summary1[[#This Row],[Category]:[Category]],Operations[[Month]:[Month]],Summary1[[#Headers],[2]])</f>
        <v>-150</v>
      </c>
      <c r="E7" s="9" cm="1">
        <f t="array" ref="E7">SUMIFS(Operations[[Amount]:[Amount]],Operations[[Category]:[Category]],Summary1[[#This Row],[Category]:[Category]],Operations[[Month]:[Month]],Summary1[[#Headers],[3]])</f>
        <v>-23</v>
      </c>
      <c r="F7" s="9" cm="1">
        <f t="array" ref="F7">SUMIFS(Operations[[Amount]:[Amount]],Operations[[Category]:[Category]],Summary1[[#This Row],[Category]:[Category]],Operations[[Month]:[Month]],Summary1[[#Headers],[4]])</f>
        <v>-49</v>
      </c>
      <c r="G7" s="9" cm="1">
        <f t="array" ref="G7">SUMIFS(Operations[[Amount]:[Amount]],Operations[[Category]:[Category]],Summary1[[#This Row],[Category]:[Category]],Operations[[Month]:[Month]],Summary1[[#Headers],[5]])</f>
        <v>-50</v>
      </c>
      <c r="H7" s="9" cm="1">
        <f t="array" ref="H7">SUMIFS(Operations[[Amount]:[Amount]],Operations[[Category]:[Category]],Summary1[[#This Row],[Category]:[Category]],Operations[[Month]:[Month]],Summary1[[#Headers],[6]])</f>
        <v>-50</v>
      </c>
      <c r="I7" s="9" cm="1">
        <f t="array" ref="I7">SUMIFS(Operations[[Amount]:[Amount]],Operations[[Category]:[Category]],Summary1[[#This Row],[Category]:[Category]],Operations[[Month]:[Month]],Summary1[[#Headers],[7]])</f>
        <v>0</v>
      </c>
      <c r="J7" s="9" cm="1">
        <f t="array" ref="J7">SUMIFS(Operations[[Amount]:[Amount]],Operations[[Category]:[Category]],Summary1[[#This Row],[Category]:[Category]],Operations[[Month]:[Month]],Summary1[[#Headers],[8]])</f>
        <v>0</v>
      </c>
      <c r="K7" s="9" cm="1">
        <f t="array" ref="K7">SUMIFS(Operations[[Amount]:[Amount]],Operations[[Category]:[Category]],Summary1[[#This Row],[Category]:[Category]],Operations[[Month]:[Month]],Summary1[[#Headers],[9]])</f>
        <v>-40</v>
      </c>
      <c r="L7" s="9" cm="1">
        <f t="array" ref="L7">SUMIFS(Operations[[Amount]:[Amount]],Operations[[Category]:[Category]],Summary1[[#This Row],[Category]:[Category]],Operations[[Month]:[Month]],Summary1[[#Headers],[10]])</f>
        <v>-40</v>
      </c>
      <c r="M7" s="9" cm="1">
        <f t="array" ref="M7">SUMIFS(Operations[[Amount]:[Amount]],Operations[[Category]:[Category]],Summary1[[#This Row],[Category]:[Category]],Operations[[Month]:[Month]],Summary1[[#Headers],[11]])</f>
        <v>-47</v>
      </c>
      <c r="N7" s="9" cm="1">
        <f t="array" ref="N7">SUMIFS(Operations[[Amount]:[Amount]],Operations[[Category]:[Category]],Summary1[[#This Row],[Category]:[Category]],Operations[[Month]:[Month]],Summary1[[#Headers],[12]])</f>
        <v>0</v>
      </c>
      <c r="O7" s="9">
        <f>SUM(Summary1[[#This Row],[1]:[12]])</f>
        <v>-599</v>
      </c>
    </row>
    <row r="8" spans="1:15" x14ac:dyDescent="0.3">
      <c r="A8" t="s">
        <v>24</v>
      </c>
      <c r="B8" t="s">
        <v>32</v>
      </c>
      <c r="C8" s="9" cm="1">
        <f t="array" ref="C8">SUMIFS(Operations[[Amount]:[Amount]],Operations[[Category]:[Category]],Summary1[[#This Row],[Category]:[Category]],Operations[[Month]:[Month]],Summary1[[#Headers],[1]])</f>
        <v>-500</v>
      </c>
      <c r="D8" s="9" cm="1">
        <f t="array" ref="D8">SUMIFS(Operations[[Amount]:[Amount]],Operations[[Category]:[Category]],Summary1[[#This Row],[Category]:[Category]],Operations[[Month]:[Month]],Summary1[[#Headers],[2]])</f>
        <v>-765</v>
      </c>
      <c r="E8" s="9" cm="1">
        <f t="array" ref="E8">SUMIFS(Operations[[Amount]:[Amount]],Operations[[Category]:[Category]],Summary1[[#This Row],[Category]:[Category]],Operations[[Month]:[Month]],Summary1[[#Headers],[3]])</f>
        <v>-300</v>
      </c>
      <c r="F8" s="9" cm="1">
        <f t="array" ref="F8">SUMIFS(Operations[[Amount]:[Amount]],Operations[[Category]:[Category]],Summary1[[#This Row],[Category]:[Category]],Operations[[Month]:[Month]],Summary1[[#Headers],[4]])</f>
        <v>-100</v>
      </c>
      <c r="G8" s="9" cm="1">
        <f t="array" ref="G8">SUMIFS(Operations[[Amount]:[Amount]],Operations[[Category]:[Category]],Summary1[[#This Row],[Category]:[Category]],Operations[[Month]:[Month]],Summary1[[#Headers],[5]])</f>
        <v>0</v>
      </c>
      <c r="H8" s="9" cm="1">
        <f t="array" ref="H8">SUMIFS(Operations[[Amount]:[Amount]],Operations[[Category]:[Category]],Summary1[[#This Row],[Category]:[Category]],Operations[[Month]:[Month]],Summary1[[#Headers],[6]])</f>
        <v>0</v>
      </c>
      <c r="I8" s="9" cm="1">
        <f t="array" ref="I8">SUMIFS(Operations[[Amount]:[Amount]],Operations[[Category]:[Category]],Summary1[[#This Row],[Category]:[Category]],Operations[[Month]:[Month]],Summary1[[#Headers],[7]])</f>
        <v>0</v>
      </c>
      <c r="J8" s="9" cm="1">
        <f t="array" ref="J8">SUMIFS(Operations[[Amount]:[Amount]],Operations[[Category]:[Category]],Summary1[[#This Row],[Category]:[Category]],Operations[[Month]:[Month]],Summary1[[#Headers],[8]])</f>
        <v>0</v>
      </c>
      <c r="K8" s="9" cm="1">
        <f t="array" ref="K8">SUMIFS(Operations[[Amount]:[Amount]],Operations[[Category]:[Category]],Summary1[[#This Row],[Category]:[Category]],Operations[[Month]:[Month]],Summary1[[#Headers],[9]])</f>
        <v>0</v>
      </c>
      <c r="L8" s="9" cm="1">
        <f t="array" ref="L8">SUMIFS(Operations[[Amount]:[Amount]],Operations[[Category]:[Category]],Summary1[[#This Row],[Category]:[Category]],Operations[[Month]:[Month]],Summary1[[#Headers],[10]])</f>
        <v>0</v>
      </c>
      <c r="M8" s="9" cm="1">
        <f t="array" ref="M8">SUMIFS(Operations[[Amount]:[Amount]],Operations[[Category]:[Category]],Summary1[[#This Row],[Category]:[Category]],Operations[[Month]:[Month]],Summary1[[#Headers],[11]])</f>
        <v>-234</v>
      </c>
      <c r="N8" s="9" cm="1">
        <f t="array" ref="N8">SUMIFS(Operations[[Amount]:[Amount]],Operations[[Category]:[Category]],Summary1[[#This Row],[Category]:[Category]],Operations[[Month]:[Month]],Summary1[[#Headers],[12]])</f>
        <v>-700</v>
      </c>
      <c r="O8" s="9">
        <f>SUM(Summary1[[#This Row],[1]:[12]])</f>
        <v>-2599</v>
      </c>
    </row>
    <row r="9" spans="1:15" x14ac:dyDescent="0.3">
      <c r="A9" t="s">
        <v>23</v>
      </c>
      <c r="B9" t="s">
        <v>32</v>
      </c>
      <c r="C9" s="9" cm="1">
        <f t="array" ref="C9">SUMIFS(Operations[[Amount]:[Amount]],Operations[[Category]:[Category]],Summary1[[#This Row],[Category]:[Category]],Operations[[Month]:[Month]],Summary1[[#Headers],[1]])</f>
        <v>-100</v>
      </c>
      <c r="D9" s="9" cm="1">
        <f t="array" ref="D9">SUMIFS(Operations[[Amount]:[Amount]],Operations[[Category]:[Category]],Summary1[[#This Row],[Category]:[Category]],Operations[[Month]:[Month]],Summary1[[#Headers],[2]])</f>
        <v>-100</v>
      </c>
      <c r="E9" s="9" cm="1">
        <f t="array" ref="E9">SUMIFS(Operations[[Amount]:[Amount]],Operations[[Category]:[Category]],Summary1[[#This Row],[Category]:[Category]],Operations[[Month]:[Month]],Summary1[[#Headers],[3]])</f>
        <v>-79.5</v>
      </c>
      <c r="F9" s="9" cm="1">
        <f t="array" ref="F9">SUMIFS(Operations[[Amount]:[Amount]],Operations[[Category]:[Category]],Summary1[[#This Row],[Category]:[Category]],Operations[[Month]:[Month]],Summary1[[#Headers],[4]])</f>
        <v>-139</v>
      </c>
      <c r="G9" s="9" cm="1">
        <f t="array" ref="G9">SUMIFS(Operations[[Amount]:[Amount]],Operations[[Category]:[Category]],Summary1[[#This Row],[Category]:[Category]],Operations[[Month]:[Month]],Summary1[[#Headers],[5]])</f>
        <v>0</v>
      </c>
      <c r="H9" s="9" cm="1">
        <f t="array" ref="H9">SUMIFS(Operations[[Amount]:[Amount]],Operations[[Category]:[Category]],Summary1[[#This Row],[Category]:[Category]],Operations[[Month]:[Month]],Summary1[[#Headers],[6]])</f>
        <v>0</v>
      </c>
      <c r="I9" s="9" cm="1">
        <f t="array" ref="I9">SUMIFS(Operations[[Amount]:[Amount]],Operations[[Category]:[Category]],Summary1[[#This Row],[Category]:[Category]],Operations[[Month]:[Month]],Summary1[[#Headers],[7]])</f>
        <v>0</v>
      </c>
      <c r="J9" s="9" cm="1">
        <f t="array" ref="J9">SUMIFS(Operations[[Amount]:[Amount]],Operations[[Category]:[Category]],Summary1[[#This Row],[Category]:[Category]],Operations[[Month]:[Month]],Summary1[[#Headers],[8]])</f>
        <v>0</v>
      </c>
      <c r="K9" s="9" cm="1">
        <f t="array" ref="K9">SUMIFS(Operations[[Amount]:[Amount]],Operations[[Category]:[Category]],Summary1[[#This Row],[Category]:[Category]],Operations[[Month]:[Month]],Summary1[[#Headers],[9]])</f>
        <v>0</v>
      </c>
      <c r="L9" s="9" cm="1">
        <f t="array" ref="L9">SUMIFS(Operations[[Amount]:[Amount]],Operations[[Category]:[Category]],Summary1[[#This Row],[Category]:[Category]],Operations[[Month]:[Month]],Summary1[[#Headers],[10]])</f>
        <v>0</v>
      </c>
      <c r="M9" s="9" cm="1">
        <f t="array" ref="M9">SUMIFS(Operations[[Amount]:[Amount]],Operations[[Category]:[Category]],Summary1[[#This Row],[Category]:[Category]],Operations[[Month]:[Month]],Summary1[[#Headers],[11]])</f>
        <v>0</v>
      </c>
      <c r="N9" s="9" cm="1">
        <f t="array" ref="N9">SUMIFS(Operations[[Amount]:[Amount]],Operations[[Category]:[Category]],Summary1[[#This Row],[Category]:[Category]],Operations[[Month]:[Month]],Summary1[[#Headers],[12]])</f>
        <v>-100</v>
      </c>
      <c r="O9" s="9">
        <f>SUM(Summary1[[#This Row],[1]:[12]])</f>
        <v>-518.5</v>
      </c>
    </row>
    <row r="10" spans="1:15" x14ac:dyDescent="0.3">
      <c r="A10" t="s">
        <v>16</v>
      </c>
      <c r="B10" t="s">
        <v>32</v>
      </c>
      <c r="C10" s="9" cm="1">
        <f t="array" ref="C10">SUMIFS(Operations[[Amount]:[Amount]],Operations[[Category]:[Category]],Summary1[[#This Row],[Category]:[Category]],Operations[[Month]:[Month]],Summary1[[#Headers],[1]])</f>
        <v>-80</v>
      </c>
      <c r="D10" s="9" cm="1">
        <f t="array" ref="D10">SUMIFS(Operations[[Amount]:[Amount]],Operations[[Category]:[Category]],Summary1[[#This Row],[Category]:[Category]],Operations[[Month]:[Month]],Summary1[[#Headers],[2]])</f>
        <v>-80</v>
      </c>
      <c r="E10" s="9" cm="1">
        <f t="array" ref="E10">SUMIFS(Operations[[Amount]:[Amount]],Operations[[Category]:[Category]],Summary1[[#This Row],[Category]:[Category]],Operations[[Month]:[Month]],Summary1[[#Headers],[3]])</f>
        <v>-82.5</v>
      </c>
      <c r="F10" s="9" cm="1">
        <f t="array" ref="F10">SUMIFS(Operations[[Amount]:[Amount]],Operations[[Category]:[Category]],Summary1[[#This Row],[Category]:[Category]],Operations[[Month]:[Month]],Summary1[[#Headers],[4]])</f>
        <v>-82.5</v>
      </c>
      <c r="G10" s="9" cm="1">
        <f t="array" ref="G10">SUMIFS(Operations[[Amount]:[Amount]],Operations[[Category]:[Category]],Summary1[[#This Row],[Category]:[Category]],Operations[[Month]:[Month]],Summary1[[#Headers],[5]])</f>
        <v>-80</v>
      </c>
      <c r="H10" s="9" cm="1">
        <f t="array" ref="H10">SUMIFS(Operations[[Amount]:[Amount]],Operations[[Category]:[Category]],Summary1[[#This Row],[Category]:[Category]],Operations[[Month]:[Month]],Summary1[[#Headers],[6]])</f>
        <v>-80</v>
      </c>
      <c r="I10" s="9" cm="1">
        <f t="array" ref="I10">SUMIFS(Operations[[Amount]:[Amount]],Operations[[Category]:[Category]],Summary1[[#This Row],[Category]:[Category]],Operations[[Month]:[Month]],Summary1[[#Headers],[7]])</f>
        <v>-90</v>
      </c>
      <c r="J10" s="9" cm="1">
        <f t="array" ref="J10">SUMIFS(Operations[[Amount]:[Amount]],Operations[[Category]:[Category]],Summary1[[#This Row],[Category]:[Category]],Operations[[Month]:[Month]],Summary1[[#Headers],[8]])</f>
        <v>-290</v>
      </c>
      <c r="K10" s="9" cm="1">
        <f t="array" ref="K10">SUMIFS(Operations[[Amount]:[Amount]],Operations[[Category]:[Category]],Summary1[[#This Row],[Category]:[Category]],Operations[[Month]:[Month]],Summary1[[#Headers],[9]])</f>
        <v>-150</v>
      </c>
      <c r="L10" s="9" cm="1">
        <f t="array" ref="L10">SUMIFS(Operations[[Amount]:[Amount]],Operations[[Category]:[Category]],Summary1[[#This Row],[Category]:[Category]],Operations[[Month]:[Month]],Summary1[[#Headers],[10]])</f>
        <v>-150</v>
      </c>
      <c r="M10" s="9" cm="1">
        <f t="array" ref="M10">SUMIFS(Operations[[Amount]:[Amount]],Operations[[Category]:[Category]],Summary1[[#This Row],[Category]:[Category]],Operations[[Month]:[Month]],Summary1[[#Headers],[11]])</f>
        <v>-208</v>
      </c>
      <c r="N10" s="9" cm="1">
        <f t="array" ref="N10">SUMIFS(Operations[[Amount]:[Amount]],Operations[[Category]:[Category]],Summary1[[#This Row],[Category]:[Category]],Operations[[Month]:[Month]],Summary1[[#Headers],[12]])</f>
        <v>0</v>
      </c>
      <c r="O10" s="9">
        <f>SUM(Summary1[[#This Row],[1]:[12]])</f>
        <v>-1373</v>
      </c>
    </row>
    <row r="11" spans="1:15" x14ac:dyDescent="0.3">
      <c r="A11" t="s">
        <v>25</v>
      </c>
      <c r="B11" t="s">
        <v>33</v>
      </c>
      <c r="C11" s="9" cm="1">
        <f t="array" ref="C11">SUMIFS(Operations[[Amount]:[Amount]],Operations[[Category]:[Category]],Summary1[[#This Row],[Category]:[Category]],Operations[[Month]:[Month]],Summary1[[#Headers],[1]])</f>
        <v>250</v>
      </c>
      <c r="D11" s="9" cm="1">
        <f t="array" ref="D11">SUMIFS(Operations[[Amount]:[Amount]],Operations[[Category]:[Category]],Summary1[[#This Row],[Category]:[Category]],Operations[[Month]:[Month]],Summary1[[#Headers],[2]])</f>
        <v>0</v>
      </c>
      <c r="E11" s="9" cm="1">
        <f t="array" ref="E11">SUMIFS(Operations[[Amount]:[Amount]],Operations[[Category]:[Category]],Summary1[[#This Row],[Category]:[Category]],Operations[[Month]:[Month]],Summary1[[#Headers],[3]])</f>
        <v>0</v>
      </c>
      <c r="F11" s="9" cm="1">
        <f t="array" ref="F11">SUMIFS(Operations[[Amount]:[Amount]],Operations[[Category]:[Category]],Summary1[[#This Row],[Category]:[Category]],Operations[[Month]:[Month]],Summary1[[#Headers],[4]])</f>
        <v>0</v>
      </c>
      <c r="G11" s="9" cm="1">
        <f t="array" ref="G11">SUMIFS(Operations[[Amount]:[Amount]],Operations[[Category]:[Category]],Summary1[[#This Row],[Category]:[Category]],Operations[[Month]:[Month]],Summary1[[#Headers],[5]])</f>
        <v>0</v>
      </c>
      <c r="H11" s="9" cm="1">
        <f t="array" ref="H11">SUMIFS(Operations[[Amount]:[Amount]],Operations[[Category]:[Category]],Summary1[[#This Row],[Category]:[Category]],Operations[[Month]:[Month]],Summary1[[#Headers],[6]])</f>
        <v>400</v>
      </c>
      <c r="I11" s="9" cm="1">
        <f t="array" ref="I11">SUMIFS(Operations[[Amount]:[Amount]],Operations[[Category]:[Category]],Summary1[[#This Row],[Category]:[Category]],Operations[[Month]:[Month]],Summary1[[#Headers],[7]])</f>
        <v>0</v>
      </c>
      <c r="J11" s="9" cm="1">
        <f t="array" ref="J11">SUMIFS(Operations[[Amount]:[Amount]],Operations[[Category]:[Category]],Summary1[[#This Row],[Category]:[Category]],Operations[[Month]:[Month]],Summary1[[#Headers],[8]])</f>
        <v>0</v>
      </c>
      <c r="K11" s="9" cm="1">
        <f t="array" ref="K11">SUMIFS(Operations[[Amount]:[Amount]],Operations[[Category]:[Category]],Summary1[[#This Row],[Category]:[Category]],Operations[[Month]:[Month]],Summary1[[#Headers],[9]])</f>
        <v>0</v>
      </c>
      <c r="L11" s="9" cm="1">
        <f t="array" ref="L11">SUMIFS(Operations[[Amount]:[Amount]],Operations[[Category]:[Category]],Summary1[[#This Row],[Category]:[Category]],Operations[[Month]:[Month]],Summary1[[#Headers],[10]])</f>
        <v>0</v>
      </c>
      <c r="M11" s="9" cm="1">
        <f t="array" ref="M11">SUMIFS(Operations[[Amount]:[Amount]],Operations[[Category]:[Category]],Summary1[[#This Row],[Category]:[Category]],Operations[[Month]:[Month]],Summary1[[#Headers],[11]])</f>
        <v>0</v>
      </c>
      <c r="N11" s="9" cm="1">
        <f t="array" ref="N11">SUMIFS(Operations[[Amount]:[Amount]],Operations[[Category]:[Category]],Summary1[[#This Row],[Category]:[Category]],Operations[[Month]:[Month]],Summary1[[#Headers],[12]])</f>
        <v>0</v>
      </c>
      <c r="O11" s="9">
        <f>SUM(Summary1[[#This Row],[1]:[12]])</f>
        <v>650</v>
      </c>
    </row>
    <row r="12" spans="1:15" x14ac:dyDescent="0.3">
      <c r="A12" t="s">
        <v>28</v>
      </c>
      <c r="B12" t="s">
        <v>33</v>
      </c>
      <c r="C12" s="9" cm="1">
        <f t="array" ref="C12">SUMIFS(Operations[[Amount]:[Amount]],Operations[[Category]:[Category]],Summary1[[#This Row],[Category]:[Category]],Operations[[Month]:[Month]],Summary1[[#Headers],[1]])</f>
        <v>105.5</v>
      </c>
      <c r="D12" s="9" cm="1">
        <f t="array" ref="D12">SUMIFS(Operations[[Amount]:[Amount]],Operations[[Category]:[Category]],Summary1[[#This Row],[Category]:[Category]],Operations[[Month]:[Month]],Summary1[[#Headers],[2]])</f>
        <v>115</v>
      </c>
      <c r="E12" s="9" cm="1">
        <f t="array" ref="E12">SUMIFS(Operations[[Amount]:[Amount]],Operations[[Category]:[Category]],Summary1[[#This Row],[Category]:[Category]],Operations[[Month]:[Month]],Summary1[[#Headers],[3]])</f>
        <v>150</v>
      </c>
      <c r="F12" s="9" cm="1">
        <f t="array" ref="F12">SUMIFS(Operations[[Amount]:[Amount]],Operations[[Category]:[Category]],Summary1[[#This Row],[Category]:[Category]],Operations[[Month]:[Month]],Summary1[[#Headers],[4]])</f>
        <v>150</v>
      </c>
      <c r="G12" s="9" cm="1">
        <f t="array" ref="G12">SUMIFS(Operations[[Amount]:[Amount]],Operations[[Category]:[Category]],Summary1[[#This Row],[Category]:[Category]],Operations[[Month]:[Month]],Summary1[[#Headers],[5]])</f>
        <v>0</v>
      </c>
      <c r="H12" s="9" cm="1">
        <f t="array" ref="H12">SUMIFS(Operations[[Amount]:[Amount]],Operations[[Category]:[Category]],Summary1[[#This Row],[Category]:[Category]],Operations[[Month]:[Month]],Summary1[[#Headers],[6]])</f>
        <v>0</v>
      </c>
      <c r="I12" s="9" cm="1">
        <f t="array" ref="I12">SUMIFS(Operations[[Amount]:[Amount]],Operations[[Category]:[Category]],Summary1[[#This Row],[Category]:[Category]],Operations[[Month]:[Month]],Summary1[[#Headers],[7]])</f>
        <v>120</v>
      </c>
      <c r="J12" s="9" cm="1">
        <f t="array" ref="J12">SUMIFS(Operations[[Amount]:[Amount]],Operations[[Category]:[Category]],Summary1[[#This Row],[Category]:[Category]],Operations[[Month]:[Month]],Summary1[[#Headers],[8]])</f>
        <v>0</v>
      </c>
      <c r="K12" s="9" cm="1">
        <f t="array" ref="K12">SUMIFS(Operations[[Amount]:[Amount]],Operations[[Category]:[Category]],Summary1[[#This Row],[Category]:[Category]],Operations[[Month]:[Month]],Summary1[[#Headers],[9]])</f>
        <v>0</v>
      </c>
      <c r="L12" s="9" cm="1">
        <f t="array" ref="L12">SUMIFS(Operations[[Amount]:[Amount]],Operations[[Category]:[Category]],Summary1[[#This Row],[Category]:[Category]],Operations[[Month]:[Month]],Summary1[[#Headers],[10]])</f>
        <v>0</v>
      </c>
      <c r="M12" s="9" cm="1">
        <f t="array" ref="M12">SUMIFS(Operations[[Amount]:[Amount]],Operations[[Category]:[Category]],Summary1[[#This Row],[Category]:[Category]],Operations[[Month]:[Month]],Summary1[[#Headers],[11]])</f>
        <v>0</v>
      </c>
      <c r="N12" s="9" cm="1">
        <f t="array" ref="N12">SUMIFS(Operations[[Amount]:[Amount]],Operations[[Category]:[Category]],Summary1[[#This Row],[Category]:[Category]],Operations[[Month]:[Month]],Summary1[[#Headers],[12]])</f>
        <v>0</v>
      </c>
      <c r="O12" s="9">
        <f>SUM(Summary1[[#This Row],[1]:[12]])</f>
        <v>640.5</v>
      </c>
    </row>
    <row r="13" spans="1:15" x14ac:dyDescent="0.3">
      <c r="A13" t="s">
        <v>29</v>
      </c>
      <c r="B13" t="s">
        <v>33</v>
      </c>
      <c r="C13" s="9" cm="1">
        <f t="array" ref="C13">SUMIFS(Operations[[Amount]:[Amount]],Operations[[Category]:[Category]],Summary1[[#This Row],[Category]:[Category]],Operations[[Month]:[Month]],Summary1[[#Headers],[1]])</f>
        <v>0</v>
      </c>
      <c r="D13" s="9" cm="1">
        <f t="array" ref="D13">SUMIFS(Operations[[Amount]:[Amount]],Operations[[Category]:[Category]],Summary1[[#This Row],[Category]:[Category]],Operations[[Month]:[Month]],Summary1[[#Headers],[2]])</f>
        <v>0</v>
      </c>
      <c r="E13" s="9" cm="1">
        <f t="array" ref="E13">SUMIFS(Operations[[Amount]:[Amount]],Operations[[Category]:[Category]],Summary1[[#This Row],[Category]:[Category]],Operations[[Month]:[Month]],Summary1[[#Headers],[3]])</f>
        <v>5</v>
      </c>
      <c r="F13" s="9" cm="1">
        <f t="array" ref="F13">SUMIFS(Operations[[Amount]:[Amount]],Operations[[Category]:[Category]],Summary1[[#This Row],[Category]:[Category]],Operations[[Month]:[Month]],Summary1[[#Headers],[4]])</f>
        <v>50</v>
      </c>
      <c r="G13" s="9" cm="1">
        <f t="array" ref="G13">SUMIFS(Operations[[Amount]:[Amount]],Operations[[Category]:[Category]],Summary1[[#This Row],[Category]:[Category]],Operations[[Month]:[Month]],Summary1[[#Headers],[5]])</f>
        <v>0</v>
      </c>
      <c r="H13" s="9" cm="1">
        <f t="array" ref="H13">SUMIFS(Operations[[Amount]:[Amount]],Operations[[Category]:[Category]],Summary1[[#This Row],[Category]:[Category]],Operations[[Month]:[Month]],Summary1[[#Headers],[6]])</f>
        <v>0</v>
      </c>
      <c r="I13" s="9" cm="1">
        <f t="array" ref="I13">SUMIFS(Operations[[Amount]:[Amount]],Operations[[Category]:[Category]],Summary1[[#This Row],[Category]:[Category]],Operations[[Month]:[Month]],Summary1[[#Headers],[7]])</f>
        <v>800</v>
      </c>
      <c r="J13" s="9" cm="1">
        <f t="array" ref="J13">SUMIFS(Operations[[Amount]:[Amount]],Operations[[Category]:[Category]],Summary1[[#This Row],[Category]:[Category]],Operations[[Month]:[Month]],Summary1[[#Headers],[8]])</f>
        <v>400</v>
      </c>
      <c r="K13" s="9" cm="1">
        <f t="array" ref="K13">SUMIFS(Operations[[Amount]:[Amount]],Operations[[Category]:[Category]],Summary1[[#This Row],[Category]:[Category]],Operations[[Month]:[Month]],Summary1[[#Headers],[9]])</f>
        <v>0</v>
      </c>
      <c r="L13" s="9" cm="1">
        <f t="array" ref="L13">SUMIFS(Operations[[Amount]:[Amount]],Operations[[Category]:[Category]],Summary1[[#This Row],[Category]:[Category]],Operations[[Month]:[Month]],Summary1[[#Headers],[10]])</f>
        <v>0</v>
      </c>
      <c r="M13" s="9" cm="1">
        <f t="array" ref="M13">SUMIFS(Operations[[Amount]:[Amount]],Operations[[Category]:[Category]],Summary1[[#This Row],[Category]:[Category]],Operations[[Month]:[Month]],Summary1[[#Headers],[11]])</f>
        <v>400</v>
      </c>
      <c r="N13" s="9" cm="1">
        <f t="array" ref="N13">SUMIFS(Operations[[Amount]:[Amount]],Operations[[Category]:[Category]],Summary1[[#This Row],[Category]:[Category]],Operations[[Month]:[Month]],Summary1[[#Headers],[12]])</f>
        <v>2000</v>
      </c>
      <c r="O13" s="9">
        <f>SUM(Summary1[[#This Row],[1]:[12]])</f>
        <v>3655</v>
      </c>
    </row>
    <row r="14" spans="1:15" x14ac:dyDescent="0.3">
      <c r="A14" t="s">
        <v>30</v>
      </c>
      <c r="B14" t="s">
        <v>33</v>
      </c>
      <c r="C14" s="9" cm="1">
        <f t="array" ref="C14">SUMIFS(Operations[[Amount]:[Amount]],Operations[[Category]:[Category]],Summary1[[#This Row],[Category]:[Category]],Operations[[Month]:[Month]],Summary1[[#Headers],[1]])</f>
        <v>800</v>
      </c>
      <c r="D14" s="9" cm="1">
        <f t="array" ref="D14">SUMIFS(Operations[[Amount]:[Amount]],Operations[[Category]:[Category]],Summary1[[#This Row],[Category]:[Category]],Operations[[Month]:[Month]],Summary1[[#Headers],[2]])</f>
        <v>1950</v>
      </c>
      <c r="E14" s="9" cm="1">
        <f t="array" ref="E14">SUMIFS(Operations[[Amount]:[Amount]],Operations[[Category]:[Category]],Summary1[[#This Row],[Category]:[Category]],Operations[[Month]:[Month]],Summary1[[#Headers],[3]])</f>
        <v>0</v>
      </c>
      <c r="F14" s="9" cm="1">
        <f t="array" ref="F14">SUMIFS(Operations[[Amount]:[Amount]],Operations[[Category]:[Category]],Summary1[[#This Row],[Category]:[Category]],Operations[[Month]:[Month]],Summary1[[#Headers],[4]])</f>
        <v>0</v>
      </c>
      <c r="G14" s="9" cm="1">
        <f t="array" ref="G14">SUMIFS(Operations[[Amount]:[Amount]],Operations[[Category]:[Category]],Summary1[[#This Row],[Category]:[Category]],Operations[[Month]:[Month]],Summary1[[#Headers],[5]])</f>
        <v>0</v>
      </c>
      <c r="H14" s="9" cm="1">
        <f t="array" ref="H14">SUMIFS(Operations[[Amount]:[Amount]],Operations[[Category]:[Category]],Summary1[[#This Row],[Category]:[Category]],Operations[[Month]:[Month]],Summary1[[#Headers],[6]])</f>
        <v>0</v>
      </c>
      <c r="I14" s="9" cm="1">
        <f t="array" ref="I14">SUMIFS(Operations[[Amount]:[Amount]],Operations[[Category]:[Category]],Summary1[[#This Row],[Category]:[Category]],Operations[[Month]:[Month]],Summary1[[#Headers],[7]])</f>
        <v>0</v>
      </c>
      <c r="J14" s="9" cm="1">
        <f t="array" ref="J14">SUMIFS(Operations[[Amount]:[Amount]],Operations[[Category]:[Category]],Summary1[[#This Row],[Category]:[Category]],Operations[[Month]:[Month]],Summary1[[#Headers],[8]])</f>
        <v>0</v>
      </c>
      <c r="K14" s="9" cm="1">
        <f t="array" ref="K14">SUMIFS(Operations[[Amount]:[Amount]],Operations[[Category]:[Category]],Summary1[[#This Row],[Category]:[Category]],Operations[[Month]:[Month]],Summary1[[#Headers],[9]])</f>
        <v>0</v>
      </c>
      <c r="L14" s="9" cm="1">
        <f t="array" ref="L14">SUMIFS(Operations[[Amount]:[Amount]],Operations[[Category]:[Category]],Summary1[[#This Row],[Category]:[Category]],Operations[[Month]:[Month]],Summary1[[#Headers],[10]])</f>
        <v>0</v>
      </c>
      <c r="M14" s="9" cm="1">
        <f t="array" ref="M14">SUMIFS(Operations[[Amount]:[Amount]],Operations[[Category]:[Category]],Summary1[[#This Row],[Category]:[Category]],Operations[[Month]:[Month]],Summary1[[#Headers],[11]])</f>
        <v>0</v>
      </c>
      <c r="N14" s="9" cm="1">
        <f t="array" ref="N14">SUMIFS(Operations[[Amount]:[Amount]],Operations[[Category]:[Category]],Summary1[[#This Row],[Category]:[Category]],Operations[[Month]:[Month]],Summary1[[#Headers],[12]])</f>
        <v>0</v>
      </c>
      <c r="O14" s="9">
        <f>SUM(Summary1[[#This Row],[1]:[12]])</f>
        <v>2750</v>
      </c>
    </row>
    <row r="15" spans="1:15" x14ac:dyDescent="0.3">
      <c r="A15" t="s">
        <v>26</v>
      </c>
      <c r="B15" t="s">
        <v>33</v>
      </c>
      <c r="C15" s="9" cm="1">
        <f t="array" ref="C15">SUMIFS(Operations[[Amount]:[Amount]],Operations[[Category]:[Category]],Summary1[[#This Row],[Category]:[Category]],Operations[[Month]:[Month]],Summary1[[#Headers],[1]])</f>
        <v>4500</v>
      </c>
      <c r="D15" s="9" cm="1">
        <f t="array" ref="D15">SUMIFS(Operations[[Amount]:[Amount]],Operations[[Category]:[Category]],Summary1[[#This Row],[Category]:[Category]],Operations[[Month]:[Month]],Summary1[[#Headers],[2]])</f>
        <v>4500</v>
      </c>
      <c r="E15" s="9" cm="1">
        <f t="array" ref="E15">SUMIFS(Operations[[Amount]:[Amount]],Operations[[Category]:[Category]],Summary1[[#This Row],[Category]:[Category]],Operations[[Month]:[Month]],Summary1[[#Headers],[3]])</f>
        <v>4500</v>
      </c>
      <c r="F15" s="9" cm="1">
        <f t="array" ref="F15">SUMIFS(Operations[[Amount]:[Amount]],Operations[[Category]:[Category]],Summary1[[#This Row],[Category]:[Category]],Operations[[Month]:[Month]],Summary1[[#Headers],[4]])</f>
        <v>4500</v>
      </c>
      <c r="G15" s="9" cm="1">
        <f t="array" ref="G15">SUMIFS(Operations[[Amount]:[Amount]],Operations[[Category]:[Category]],Summary1[[#This Row],[Category]:[Category]],Operations[[Month]:[Month]],Summary1[[#Headers],[5]])</f>
        <v>4500</v>
      </c>
      <c r="H15" s="9" cm="1">
        <f t="array" ref="H15">SUMIFS(Operations[[Amount]:[Amount]],Operations[[Category]:[Category]],Summary1[[#This Row],[Category]:[Category]],Operations[[Month]:[Month]],Summary1[[#Headers],[6]])</f>
        <v>4500</v>
      </c>
      <c r="I15" s="9" cm="1">
        <f t="array" ref="I15">SUMIFS(Operations[[Amount]:[Amount]],Operations[[Category]:[Category]],Summary1[[#This Row],[Category]:[Category]],Operations[[Month]:[Month]],Summary1[[#Headers],[7]])</f>
        <v>4500</v>
      </c>
      <c r="J15" s="9" cm="1">
        <f t="array" ref="J15">SUMIFS(Operations[[Amount]:[Amount]],Operations[[Category]:[Category]],Summary1[[#This Row],[Category]:[Category]],Operations[[Month]:[Month]],Summary1[[#Headers],[8]])</f>
        <v>4500</v>
      </c>
      <c r="K15" s="9" cm="1">
        <f t="array" ref="K15">SUMIFS(Operations[[Amount]:[Amount]],Operations[[Category]:[Category]],Summary1[[#This Row],[Category]:[Category]],Operations[[Month]:[Month]],Summary1[[#Headers],[9]])</f>
        <v>4500</v>
      </c>
      <c r="L15" s="9" cm="1">
        <f t="array" ref="L15">SUMIFS(Operations[[Amount]:[Amount]],Operations[[Category]:[Category]],Summary1[[#This Row],[Category]:[Category]],Operations[[Month]:[Month]],Summary1[[#Headers],[10]])</f>
        <v>4500</v>
      </c>
      <c r="M15" s="9" cm="1">
        <f t="array" ref="M15">SUMIFS(Operations[[Amount]:[Amount]],Operations[[Category]:[Category]],Summary1[[#This Row],[Category]:[Category]],Operations[[Month]:[Month]],Summary1[[#Headers],[11]])</f>
        <v>4500</v>
      </c>
      <c r="N15" s="9" cm="1">
        <f t="array" ref="N15">SUMIFS(Operations[[Amount]:[Amount]],Operations[[Category]:[Category]],Summary1[[#This Row],[Category]:[Category]],Operations[[Month]:[Month]],Summary1[[#Headers],[12]])</f>
        <v>4500</v>
      </c>
      <c r="O15" s="9">
        <f>SUM(Summary1[[#This Row],[1]:[12]])</f>
        <v>54000</v>
      </c>
    </row>
    <row r="16" spans="1:15" x14ac:dyDescent="0.3">
      <c r="A16" t="s">
        <v>27</v>
      </c>
      <c r="B16" t="s">
        <v>33</v>
      </c>
      <c r="C16" s="9" cm="1">
        <f t="array" ref="C16">SUMIFS(Operations[[Amount]:[Amount]],Operations[[Category]:[Category]],Summary1[[#This Row],[Category]:[Category]],Operations[[Month]:[Month]],Summary1[[#Headers],[1]])</f>
        <v>0</v>
      </c>
      <c r="D16" s="9" cm="1">
        <f t="array" ref="D16">SUMIFS(Operations[[Amount]:[Amount]],Operations[[Category]:[Category]],Summary1[[#This Row],[Category]:[Category]],Operations[[Month]:[Month]],Summary1[[#Headers],[2]])</f>
        <v>0</v>
      </c>
      <c r="E16" s="9" cm="1">
        <f t="array" ref="E16">SUMIFS(Operations[[Amount]:[Amount]],Operations[[Category]:[Category]],Summary1[[#This Row],[Category]:[Category]],Operations[[Month]:[Month]],Summary1[[#Headers],[3]])</f>
        <v>0</v>
      </c>
      <c r="F16" s="9" cm="1">
        <f t="array" ref="F16">SUMIFS(Operations[[Amount]:[Amount]],Operations[[Category]:[Category]],Summary1[[#This Row],[Category]:[Category]],Operations[[Month]:[Month]],Summary1[[#Headers],[4]])</f>
        <v>0</v>
      </c>
      <c r="G16" s="9" cm="1">
        <f t="array" ref="G16">SUMIFS(Operations[[Amount]:[Amount]],Operations[[Category]:[Category]],Summary1[[#This Row],[Category]:[Category]],Operations[[Month]:[Month]],Summary1[[#Headers],[5]])</f>
        <v>0</v>
      </c>
      <c r="H16" s="9" cm="1">
        <f t="array" ref="H16">SUMIFS(Operations[[Amount]:[Amount]],Operations[[Category]:[Category]],Summary1[[#This Row],[Category]:[Category]],Operations[[Month]:[Month]],Summary1[[#Headers],[6]])</f>
        <v>0</v>
      </c>
      <c r="I16" s="9" cm="1">
        <f t="array" ref="I16">SUMIFS(Operations[[Amount]:[Amount]],Operations[[Category]:[Category]],Summary1[[#This Row],[Category]:[Category]],Operations[[Month]:[Month]],Summary1[[#Headers],[7]])</f>
        <v>500</v>
      </c>
      <c r="J16" s="9" cm="1">
        <f t="array" ref="J16">SUMIFS(Operations[[Amount]:[Amount]],Operations[[Category]:[Category]],Summary1[[#This Row],[Category]:[Category]],Operations[[Month]:[Month]],Summary1[[#Headers],[8]])</f>
        <v>500</v>
      </c>
      <c r="K16" s="9" cm="1">
        <f t="array" ref="K16">SUMIFS(Operations[[Amount]:[Amount]],Operations[[Category]:[Category]],Summary1[[#This Row],[Category]:[Category]],Operations[[Month]:[Month]],Summary1[[#Headers],[9]])</f>
        <v>0</v>
      </c>
      <c r="L16" s="9" cm="1">
        <f t="array" ref="L16">SUMIFS(Operations[[Amount]:[Amount]],Operations[[Category]:[Category]],Summary1[[#This Row],[Category]:[Category]],Operations[[Month]:[Month]],Summary1[[#Headers],[10]])</f>
        <v>0</v>
      </c>
      <c r="M16" s="9" cm="1">
        <f t="array" ref="M16">SUMIFS(Operations[[Amount]:[Amount]],Operations[[Category]:[Category]],Summary1[[#This Row],[Category]:[Category]],Operations[[Month]:[Month]],Summary1[[#Headers],[11]])</f>
        <v>0</v>
      </c>
      <c r="N16" s="9" cm="1">
        <f t="array" ref="N16">SUMIFS(Operations[[Amount]:[Amount]],Operations[[Category]:[Category]],Summary1[[#This Row],[Category]:[Category]],Operations[[Month]:[Month]],Summary1[[#Headers],[12]])</f>
        <v>0</v>
      </c>
      <c r="O16" s="9">
        <f>SUM(Summary1[[#This Row],[1]:[12]])</f>
        <v>1000</v>
      </c>
    </row>
    <row r="17" spans="1:15" x14ac:dyDescent="0.3">
      <c r="A17" t="s">
        <v>31</v>
      </c>
      <c r="B17" t="s">
        <v>31</v>
      </c>
      <c r="C17" s="9" cm="1">
        <f t="array" ref="C17">SUMIFS(Operations[[Amount]:[Amount]],Operations[[Category]:[Category]],Summary1[[#This Row],[Category]:[Category]],Operations[[Month]:[Month]],Summary1[[#Headers],[1]])</f>
        <v>0</v>
      </c>
      <c r="D17" s="9" cm="1">
        <f t="array" ref="D17">SUMIFS(Operations[[Amount]:[Amount]],Operations[[Category]:[Category]],Summary1[[#This Row],[Category]:[Category]],Operations[[Month]:[Month]],Summary1[[#Headers],[2]])</f>
        <v>0</v>
      </c>
      <c r="E17" s="9" cm="1">
        <f t="array" ref="E17">SUMIFS(Operations[[Amount]:[Amount]],Operations[[Category]:[Category]],Summary1[[#This Row],[Category]:[Category]],Operations[[Month]:[Month]],Summary1[[#Headers],[3]])</f>
        <v>0</v>
      </c>
      <c r="F17" s="9" cm="1">
        <f t="array" ref="F17">SUMIFS(Operations[[Amount]:[Amount]],Operations[[Category]:[Category]],Summary1[[#This Row],[Category]:[Category]],Operations[[Month]:[Month]],Summary1[[#Headers],[4]])</f>
        <v>0</v>
      </c>
      <c r="G17" s="9" cm="1">
        <f t="array" ref="G17">SUMIFS(Operations[[Amount]:[Amount]],Operations[[Category]:[Category]],Summary1[[#This Row],[Category]:[Category]],Operations[[Month]:[Month]],Summary1[[#Headers],[5]])</f>
        <v>0</v>
      </c>
      <c r="H17" s="9" cm="1">
        <f t="array" ref="H17">SUMIFS(Operations[[Amount]:[Amount]],Operations[[Category]:[Category]],Summary1[[#This Row],[Category]:[Category]],Operations[[Month]:[Month]],Summary1[[#Headers],[6]])</f>
        <v>0</v>
      </c>
      <c r="I17" s="9" cm="1">
        <f t="array" ref="I17">SUMIFS(Operations[[Amount]:[Amount]],Operations[[Category]:[Category]],Summary1[[#This Row],[Category]:[Category]],Operations[[Month]:[Month]],Summary1[[#Headers],[7]])</f>
        <v>0</v>
      </c>
      <c r="J17" s="9" cm="1">
        <f t="array" ref="J17">SUMIFS(Operations[[Amount]:[Amount]],Operations[[Category]:[Category]],Summary1[[#This Row],[Category]:[Category]],Operations[[Month]:[Month]],Summary1[[#Headers],[8]])</f>
        <v>0</v>
      </c>
      <c r="K17" s="9" cm="1">
        <f t="array" ref="K17">SUMIFS(Operations[[Amount]:[Amount]],Operations[[Category]:[Category]],Summary1[[#This Row],[Category]:[Category]],Operations[[Month]:[Month]],Summary1[[#Headers],[9]])</f>
        <v>0</v>
      </c>
      <c r="L17" s="9" cm="1">
        <f t="array" ref="L17">SUMIFS(Operations[[Amount]:[Amount]],Operations[[Category]:[Category]],Summary1[[#This Row],[Category]:[Category]],Operations[[Month]:[Month]],Summary1[[#Headers],[10]])</f>
        <v>0</v>
      </c>
      <c r="M17" s="9" cm="1">
        <f t="array" ref="M17">SUMIFS(Operations[[Amount]:[Amount]],Operations[[Category]:[Category]],Summary1[[#This Row],[Category]:[Category]],Operations[[Month]:[Month]],Summary1[[#Headers],[11]])</f>
        <v>0</v>
      </c>
      <c r="N17" s="9" cm="1">
        <f t="array" ref="N17">SUMIFS(Operations[[Amount]:[Amount]],Operations[[Category]:[Category]],Summary1[[#This Row],[Category]:[Category]],Operations[[Month]:[Month]],Summary1[[#Headers],[12]])</f>
        <v>0</v>
      </c>
      <c r="O17" s="9">
        <f>SUM(Summary1[[#This Row],[1]:[12]])</f>
        <v>0</v>
      </c>
    </row>
    <row r="18" spans="1:15" x14ac:dyDescent="0.3">
      <c r="A18" t="s">
        <v>36</v>
      </c>
      <c r="C18" s="9">
        <f>SUBTOTAL(109,Summary1[1])</f>
        <v>845.5</v>
      </c>
      <c r="D18" s="9">
        <f>SUBTOTAL(109,Summary1[2])</f>
        <v>2464.5</v>
      </c>
      <c r="E18" s="9">
        <f>SUBTOTAL(109,Summary1[3])</f>
        <v>755.60999999999967</v>
      </c>
      <c r="F18" s="9">
        <f>SUBTOTAL(109,Summary1[4])</f>
        <v>726.84000000000015</v>
      </c>
      <c r="G18" s="9">
        <f>SUBTOTAL(109,Summary1[5])</f>
        <v>1290</v>
      </c>
      <c r="H18" s="9">
        <f>SUBTOTAL(109,Summary1[6])</f>
        <v>1170</v>
      </c>
      <c r="I18" s="9">
        <f>SUBTOTAL(109,Summary1[7])</f>
        <v>2415</v>
      </c>
      <c r="J18" s="9">
        <f>SUBTOTAL(109,Summary1[8])</f>
        <v>1410.5</v>
      </c>
      <c r="K18" s="9">
        <f>SUBTOTAL(109,Summary1[9])</f>
        <v>1751.5</v>
      </c>
      <c r="L18" s="9">
        <f>SUBTOTAL(109,Summary1[10])</f>
        <v>1670</v>
      </c>
      <c r="M18" s="9">
        <f>SUBTOTAL(109,Summary1[11])</f>
        <v>1400</v>
      </c>
      <c r="N18" s="9">
        <f>SUBTOTAL(109,Summary1[12])</f>
        <v>2420</v>
      </c>
      <c r="O18" s="9">
        <f>SUBTOTAL(109,Summary1[Total])</f>
        <v>18319.449999999997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B012-6067-405E-8D93-942A7A7AEB2D}">
  <dimension ref="A1:O21"/>
  <sheetViews>
    <sheetView workbookViewId="0">
      <selection activeCell="J24" sqref="J24"/>
    </sheetView>
  </sheetViews>
  <sheetFormatPr defaultRowHeight="14.4" outlineLevelRow="2" x14ac:dyDescent="0.3"/>
  <cols>
    <col min="1" max="1" width="11.77734375" customWidth="1"/>
    <col min="2" max="2" width="13.5546875" customWidth="1"/>
    <col min="3" max="11" width="10.88671875" bestFit="1" customWidth="1"/>
    <col min="12" max="14" width="11.44140625" customWidth="1"/>
    <col min="15" max="15" width="11.88671875" bestFit="1" customWidth="1"/>
  </cols>
  <sheetData>
    <row r="1" spans="1:15" x14ac:dyDescent="0.3">
      <c r="A1" s="9" t="s">
        <v>3</v>
      </c>
      <c r="B1" s="9" t="s">
        <v>4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9" t="s">
        <v>36</v>
      </c>
    </row>
    <row r="2" spans="1:15" outlineLevel="2" x14ac:dyDescent="0.3">
      <c r="A2" s="9" t="s">
        <v>18</v>
      </c>
      <c r="B2" s="9" t="s">
        <v>32</v>
      </c>
      <c r="C2" s="9">
        <f>SUMIFS(Operations[[Amount]:[Amount]],Operations[[Category]:[Category]],$A2,Operations[[Month]:[Month]],C$1)</f>
        <v>-2000</v>
      </c>
      <c r="D2" s="9">
        <f>SUMIFS(Operations[[Amount]:[Amount]],Operations[[Category]:[Category]],$A2,Operations[[Month]:[Month]],D$1)</f>
        <v>-2000</v>
      </c>
      <c r="E2" s="9">
        <f>SUMIFS(Operations[[Amount]:[Amount]],Operations[[Category]:[Category]],$A2,Operations[[Month]:[Month]],E$1)</f>
        <v>-2000</v>
      </c>
      <c r="F2" s="9">
        <f>SUMIFS(Operations[[Amount]:[Amount]],Operations[[Category]:[Category]],$A2,Operations[[Month]:[Month]],F$1)</f>
        <v>-2000</v>
      </c>
      <c r="G2" s="9">
        <f>SUMIFS(Operations[[Amount]:[Amount]],Operations[[Category]:[Category]],$A2,Operations[[Month]:[Month]],G$1)</f>
        <v>-2000</v>
      </c>
      <c r="H2" s="9">
        <f>SUMIFS(Operations[[Amount]:[Amount]],Operations[[Category]:[Category]],$A2,Operations[[Month]:[Month]],H$1)</f>
        <v>-2000</v>
      </c>
      <c r="I2" s="9">
        <f>SUMIFS(Operations[[Amount]:[Amount]],Operations[[Category]:[Category]],$A2,Operations[[Month]:[Month]],I$1)</f>
        <v>-2000</v>
      </c>
      <c r="J2" s="9">
        <f>SUMIFS(Operations[[Amount]:[Amount]],Operations[[Category]:[Category]],$A2,Operations[[Month]:[Month]],J$1)</f>
        <v>-2000</v>
      </c>
      <c r="K2" s="9">
        <f>SUMIFS(Operations[[Amount]:[Amount]],Operations[[Category]:[Category]],$A2,Operations[[Month]:[Month]],K$1)</f>
        <v>-2000</v>
      </c>
      <c r="L2" s="9">
        <f>SUMIFS(Operations[[Amount]:[Amount]],Operations[[Category]:[Category]],$A2,Operations[[Month]:[Month]],L$1)</f>
        <v>-2000</v>
      </c>
      <c r="M2" s="9">
        <f>SUMIFS(Operations[[Amount]:[Amount]],Operations[[Category]:[Category]],$A2,Operations[[Month]:[Month]],M$1)</f>
        <v>-2000</v>
      </c>
      <c r="N2" s="9">
        <f>SUMIFS(Operations[[Amount]:[Amount]],Operations[[Category]:[Category]],$A2,Operations[[Month]:[Month]],N$1)</f>
        <v>-2000</v>
      </c>
      <c r="O2" s="9">
        <f>SUM(C2:N2)</f>
        <v>-24000</v>
      </c>
    </row>
    <row r="3" spans="1:15" outlineLevel="2" x14ac:dyDescent="0.3">
      <c r="A3" s="9" t="s">
        <v>22</v>
      </c>
      <c r="B3" s="9" t="s">
        <v>32</v>
      </c>
      <c r="C3" s="9">
        <f>SUMIFS(Operations[[Amount]:[Amount]],Operations[[Category]:[Category]],$A3,Operations[[Month]:[Month]],C$1)</f>
        <v>-80</v>
      </c>
      <c r="D3" s="9">
        <f>SUMIFS(Operations[[Amount]:[Amount]],Operations[[Category]:[Category]],$A3,Operations[[Month]:[Month]],D$1)</f>
        <v>0</v>
      </c>
      <c r="E3" s="9">
        <f>SUMIFS(Operations[[Amount]:[Amount]],Operations[[Category]:[Category]],$A3,Operations[[Month]:[Month]],E$1)</f>
        <v>-469.9</v>
      </c>
      <c r="F3" s="9">
        <f>SUMIFS(Operations[[Amount]:[Amount]],Operations[[Category]:[Category]],$A3,Operations[[Month]:[Month]],F$1)</f>
        <v>-149</v>
      </c>
      <c r="G3" s="9">
        <f>SUMIFS(Operations[[Amount]:[Amount]],Operations[[Category]:[Category]],$A3,Operations[[Month]:[Month]],G$1)</f>
        <v>0</v>
      </c>
      <c r="H3" s="9">
        <f>SUMIFS(Operations[[Amount]:[Amount]],Operations[[Category]:[Category]],$A3,Operations[[Month]:[Month]],H$1)</f>
        <v>-300</v>
      </c>
      <c r="I3" s="9">
        <f>SUMIFS(Operations[[Amount]:[Amount]],Operations[[Category]:[Category]],$A3,Operations[[Month]:[Month]],I$1)</f>
        <v>-250</v>
      </c>
      <c r="J3" s="9">
        <f>SUMIFS(Operations[[Amount]:[Amount]],Operations[[Category]:[Category]],$A3,Operations[[Month]:[Month]],J$1)</f>
        <v>-300</v>
      </c>
      <c r="K3" s="9">
        <f>SUMIFS(Operations[[Amount]:[Amount]],Operations[[Category]:[Category]],$A3,Operations[[Month]:[Month]],K$1)</f>
        <v>0</v>
      </c>
      <c r="L3" s="9">
        <f>SUMIFS(Operations[[Amount]:[Amount]],Operations[[Category]:[Category]],$A3,Operations[[Month]:[Month]],L$1)</f>
        <v>0</v>
      </c>
      <c r="M3" s="9">
        <f>SUMIFS(Operations[[Amount]:[Amount]],Operations[[Category]:[Category]],$A3,Operations[[Month]:[Month]],M$1)</f>
        <v>-158</v>
      </c>
      <c r="N3" s="9">
        <f>SUMIFS(Operations[[Amount]:[Amount]],Operations[[Category]:[Category]],$A3,Operations[[Month]:[Month]],N$1)</f>
        <v>-120</v>
      </c>
      <c r="O3" s="9">
        <f t="shared" ref="O3:O19" si="0">SUM(C3:N3)</f>
        <v>-1826.9</v>
      </c>
    </row>
    <row r="4" spans="1:15" outlineLevel="2" x14ac:dyDescent="0.3">
      <c r="A4" s="9" t="s">
        <v>20</v>
      </c>
      <c r="B4" s="9" t="s">
        <v>32</v>
      </c>
      <c r="C4" s="9">
        <f>SUMIFS(Operations[[Amount]:[Amount]],Operations[[Category]:[Category]],$A4,Operations[[Month]:[Month]],C$1)</f>
        <v>-85</v>
      </c>
      <c r="D4" s="9">
        <f>SUMIFS(Operations[[Amount]:[Amount]],Operations[[Category]:[Category]],$A4,Operations[[Month]:[Month]],D$1)</f>
        <v>-350</v>
      </c>
      <c r="E4" s="9">
        <f>SUMIFS(Operations[[Amount]:[Amount]],Operations[[Category]:[Category]],$A4,Operations[[Month]:[Month]],E$1)</f>
        <v>-200</v>
      </c>
      <c r="F4" s="9">
        <f>SUMIFS(Operations[[Amount]:[Amount]],Operations[[Category]:[Category]],$A4,Operations[[Month]:[Month]],F$1)</f>
        <v>-1057.9000000000001</v>
      </c>
      <c r="G4" s="9">
        <f>SUMIFS(Operations[[Amount]:[Amount]],Operations[[Category]:[Category]],$A4,Operations[[Month]:[Month]],G$1)</f>
        <v>-80</v>
      </c>
      <c r="H4" s="9">
        <f>SUMIFS(Operations[[Amount]:[Amount]],Operations[[Category]:[Category]],$A4,Operations[[Month]:[Month]],H$1)</f>
        <v>-200</v>
      </c>
      <c r="I4" s="9">
        <f>SUMIFS(Operations[[Amount]:[Amount]],Operations[[Category]:[Category]],$A4,Operations[[Month]:[Month]],I$1)</f>
        <v>-700</v>
      </c>
      <c r="J4" s="9">
        <f>SUMIFS(Operations[[Amount]:[Amount]],Operations[[Category]:[Category]],$A4,Operations[[Month]:[Month]],J$1)</f>
        <v>-250</v>
      </c>
      <c r="K4" s="9">
        <f>SUMIFS(Operations[[Amount]:[Amount]],Operations[[Category]:[Category]],$A4,Operations[[Month]:[Month]],K$1)</f>
        <v>-20</v>
      </c>
      <c r="L4" s="9">
        <f>SUMIFS(Operations[[Amount]:[Amount]],Operations[[Category]:[Category]],$A4,Operations[[Month]:[Month]],L$1)</f>
        <v>-40</v>
      </c>
      <c r="M4" s="9">
        <f>SUMIFS(Operations[[Amount]:[Amount]],Operations[[Category]:[Category]],$A4,Operations[[Month]:[Month]],M$1)</f>
        <v>-214</v>
      </c>
      <c r="N4" s="9">
        <f>SUMIFS(Operations[[Amount]:[Amount]],Operations[[Category]:[Category]],$A4,Operations[[Month]:[Month]],N$1)</f>
        <v>-450</v>
      </c>
      <c r="O4" s="9">
        <f t="shared" si="0"/>
        <v>-3646.9</v>
      </c>
    </row>
    <row r="5" spans="1:15" outlineLevel="2" x14ac:dyDescent="0.3">
      <c r="A5" s="9" t="s">
        <v>17</v>
      </c>
      <c r="B5" s="9" t="s">
        <v>32</v>
      </c>
      <c r="C5" s="9">
        <f>SUMIFS(Operations[[Amount]:[Amount]],Operations[[Category]:[Category]],$A5,Operations[[Month]:[Month]],C$1)</f>
        <v>-1715</v>
      </c>
      <c r="D5" s="9">
        <f>SUMIFS(Operations[[Amount]:[Amount]],Operations[[Category]:[Category]],$A5,Operations[[Month]:[Month]],D$1)</f>
        <v>-405.5</v>
      </c>
      <c r="E5" s="9">
        <f>SUMIFS(Operations[[Amount]:[Amount]],Operations[[Category]:[Category]],$A5,Operations[[Month]:[Month]],E$1)</f>
        <v>-734.99</v>
      </c>
      <c r="F5" s="9">
        <f>SUMIFS(Operations[[Amount]:[Amount]],Operations[[Category]:[Category]],$A5,Operations[[Month]:[Month]],F$1)</f>
        <v>-372.26</v>
      </c>
      <c r="G5" s="9">
        <f>SUMIFS(Operations[[Amount]:[Amount]],Operations[[Category]:[Category]],$A5,Operations[[Month]:[Month]],G$1)</f>
        <v>-1000</v>
      </c>
      <c r="H5" s="9">
        <f>SUMIFS(Operations[[Amount]:[Amount]],Operations[[Category]:[Category]],$A5,Operations[[Month]:[Month]],H$1)</f>
        <v>-1000</v>
      </c>
      <c r="I5" s="9">
        <f>SUMIFS(Operations[[Amount]:[Amount]],Operations[[Category]:[Category]],$A5,Operations[[Month]:[Month]],I$1)</f>
        <v>-165</v>
      </c>
      <c r="J5" s="9">
        <f>SUMIFS(Operations[[Amount]:[Amount]],Operations[[Category]:[Category]],$A5,Operations[[Month]:[Month]],J$1)</f>
        <v>-749.5</v>
      </c>
      <c r="K5" s="9">
        <f>SUMIFS(Operations[[Amount]:[Amount]],Operations[[Category]:[Category]],$A5,Operations[[Month]:[Month]],K$1)</f>
        <v>-538.5</v>
      </c>
      <c r="L5" s="9">
        <f>SUMIFS(Operations[[Amount]:[Amount]],Operations[[Category]:[Category]],$A5,Operations[[Month]:[Month]],L$1)</f>
        <v>-600</v>
      </c>
      <c r="M5" s="9">
        <f>SUMIFS(Operations[[Amount]:[Amount]],Operations[[Category]:[Category]],$A5,Operations[[Month]:[Month]],M$1)</f>
        <v>-506</v>
      </c>
      <c r="N5" s="9">
        <f>SUMIFS(Operations[[Amount]:[Amount]],Operations[[Category]:[Category]],$A5,Operations[[Month]:[Month]],N$1)</f>
        <v>-700</v>
      </c>
      <c r="O5" s="9">
        <f t="shared" si="0"/>
        <v>-8486.75</v>
      </c>
    </row>
    <row r="6" spans="1:15" outlineLevel="2" x14ac:dyDescent="0.3">
      <c r="A6" s="9" t="s">
        <v>21</v>
      </c>
      <c r="B6" s="9" t="s">
        <v>32</v>
      </c>
      <c r="C6" s="9">
        <f>SUMIFS(Operations[[Amount]:[Amount]],Operations[[Category]:[Category]],$A6,Operations[[Month]:[Month]],C$1)</f>
        <v>-100</v>
      </c>
      <c r="D6" s="9">
        <f>SUMIFS(Operations[[Amount]:[Amount]],Operations[[Category]:[Category]],$A6,Operations[[Month]:[Month]],D$1)</f>
        <v>-250</v>
      </c>
      <c r="E6" s="9">
        <f>SUMIFS(Operations[[Amount]:[Amount]],Operations[[Category]:[Category]],$A6,Operations[[Month]:[Month]],E$1)</f>
        <v>-9.5</v>
      </c>
      <c r="F6" s="9">
        <f>SUMIFS(Operations[[Amount]:[Amount]],Operations[[Category]:[Category]],$A6,Operations[[Month]:[Month]],F$1)</f>
        <v>-23.5</v>
      </c>
      <c r="G6" s="9">
        <f>SUMIFS(Operations[[Amount]:[Amount]],Operations[[Category]:[Category]],$A6,Operations[[Month]:[Month]],G$1)</f>
        <v>0</v>
      </c>
      <c r="H6" s="9">
        <f>SUMIFS(Operations[[Amount]:[Amount]],Operations[[Category]:[Category]],$A6,Operations[[Month]:[Month]],H$1)</f>
        <v>-100</v>
      </c>
      <c r="I6" s="9">
        <f>SUMIFS(Operations[[Amount]:[Amount]],Operations[[Category]:[Category]],$A6,Operations[[Month]:[Month]],I$1)</f>
        <v>-300</v>
      </c>
      <c r="J6" s="9">
        <f>SUMIFS(Operations[[Amount]:[Amount]],Operations[[Category]:[Category]],$A6,Operations[[Month]:[Month]],J$1)</f>
        <v>-400</v>
      </c>
      <c r="K6" s="9">
        <f>SUMIFS(Operations[[Amount]:[Amount]],Operations[[Category]:[Category]],$A6,Operations[[Month]:[Month]],K$1)</f>
        <v>0</v>
      </c>
      <c r="L6" s="9">
        <f>SUMIFS(Operations[[Amount]:[Amount]],Operations[[Category]:[Category]],$A6,Operations[[Month]:[Month]],L$1)</f>
        <v>0</v>
      </c>
      <c r="M6" s="9">
        <f>SUMIFS(Operations[[Amount]:[Amount]],Operations[[Category]:[Category]],$A6,Operations[[Month]:[Month]],M$1)</f>
        <v>-133</v>
      </c>
      <c r="N6" s="9">
        <f>SUMIFS(Operations[[Amount]:[Amount]],Operations[[Category]:[Category]],$A6,Operations[[Month]:[Month]],N$1)</f>
        <v>-10</v>
      </c>
      <c r="O6" s="9">
        <f t="shared" si="0"/>
        <v>-1326</v>
      </c>
    </row>
    <row r="7" spans="1:15" outlineLevel="2" x14ac:dyDescent="0.3">
      <c r="A7" s="9" t="s">
        <v>19</v>
      </c>
      <c r="B7" s="9" t="s">
        <v>32</v>
      </c>
      <c r="C7" s="9">
        <f>SUMIFS(Operations[[Amount]:[Amount]],Operations[[Category]:[Category]],$A7,Operations[[Month]:[Month]],C$1)</f>
        <v>-150</v>
      </c>
      <c r="D7" s="9">
        <f>SUMIFS(Operations[[Amount]:[Amount]],Operations[[Category]:[Category]],$A7,Operations[[Month]:[Month]],D$1)</f>
        <v>-150</v>
      </c>
      <c r="E7" s="9">
        <f>SUMIFS(Operations[[Amount]:[Amount]],Operations[[Category]:[Category]],$A7,Operations[[Month]:[Month]],E$1)</f>
        <v>-23</v>
      </c>
      <c r="F7" s="9">
        <f>SUMIFS(Operations[[Amount]:[Amount]],Operations[[Category]:[Category]],$A7,Operations[[Month]:[Month]],F$1)</f>
        <v>-49</v>
      </c>
      <c r="G7" s="9">
        <f>SUMIFS(Operations[[Amount]:[Amount]],Operations[[Category]:[Category]],$A7,Operations[[Month]:[Month]],G$1)</f>
        <v>-50</v>
      </c>
      <c r="H7" s="9">
        <f>SUMIFS(Operations[[Amount]:[Amount]],Operations[[Category]:[Category]],$A7,Operations[[Month]:[Month]],H$1)</f>
        <v>-50</v>
      </c>
      <c r="I7" s="9">
        <f>SUMIFS(Operations[[Amount]:[Amount]],Operations[[Category]:[Category]],$A7,Operations[[Month]:[Month]],I$1)</f>
        <v>0</v>
      </c>
      <c r="J7" s="9">
        <f>SUMIFS(Operations[[Amount]:[Amount]],Operations[[Category]:[Category]],$A7,Operations[[Month]:[Month]],J$1)</f>
        <v>0</v>
      </c>
      <c r="K7" s="9">
        <f>SUMIFS(Operations[[Amount]:[Amount]],Operations[[Category]:[Category]],$A7,Operations[[Month]:[Month]],K$1)</f>
        <v>-40</v>
      </c>
      <c r="L7" s="9">
        <f>SUMIFS(Operations[[Amount]:[Amount]],Operations[[Category]:[Category]],$A7,Operations[[Month]:[Month]],L$1)</f>
        <v>-40</v>
      </c>
      <c r="M7" s="9">
        <f>SUMIFS(Operations[[Amount]:[Amount]],Operations[[Category]:[Category]],$A7,Operations[[Month]:[Month]],M$1)</f>
        <v>-47</v>
      </c>
      <c r="N7" s="9">
        <f>SUMIFS(Operations[[Amount]:[Amount]],Operations[[Category]:[Category]],$A7,Operations[[Month]:[Month]],N$1)</f>
        <v>0</v>
      </c>
      <c r="O7" s="9">
        <f t="shared" si="0"/>
        <v>-599</v>
      </c>
    </row>
    <row r="8" spans="1:15" outlineLevel="2" x14ac:dyDescent="0.3">
      <c r="A8" s="9" t="s">
        <v>24</v>
      </c>
      <c r="B8" s="9" t="s">
        <v>32</v>
      </c>
      <c r="C8" s="9">
        <f>SUMIFS(Operations[[Amount]:[Amount]],Operations[[Category]:[Category]],$A8,Operations[[Month]:[Month]],C$1)</f>
        <v>-500</v>
      </c>
      <c r="D8" s="9">
        <f>SUMIFS(Operations[[Amount]:[Amount]],Operations[[Category]:[Category]],$A8,Operations[[Month]:[Month]],D$1)</f>
        <v>-765</v>
      </c>
      <c r="E8" s="9">
        <f>SUMIFS(Operations[[Amount]:[Amount]],Operations[[Category]:[Category]],$A8,Operations[[Month]:[Month]],E$1)</f>
        <v>-300</v>
      </c>
      <c r="F8" s="9">
        <f>SUMIFS(Operations[[Amount]:[Amount]],Operations[[Category]:[Category]],$A8,Operations[[Month]:[Month]],F$1)</f>
        <v>-100</v>
      </c>
      <c r="G8" s="9">
        <f>SUMIFS(Operations[[Amount]:[Amount]],Operations[[Category]:[Category]],$A8,Operations[[Month]:[Month]],G$1)</f>
        <v>0</v>
      </c>
      <c r="H8" s="9">
        <f>SUMIFS(Operations[[Amount]:[Amount]],Operations[[Category]:[Category]],$A8,Operations[[Month]:[Month]],H$1)</f>
        <v>0</v>
      </c>
      <c r="I8" s="9">
        <f>SUMIFS(Operations[[Amount]:[Amount]],Operations[[Category]:[Category]],$A8,Operations[[Month]:[Month]],I$1)</f>
        <v>0</v>
      </c>
      <c r="J8" s="9">
        <f>SUMIFS(Operations[[Amount]:[Amount]],Operations[[Category]:[Category]],$A8,Operations[[Month]:[Month]],J$1)</f>
        <v>0</v>
      </c>
      <c r="K8" s="9">
        <f>SUMIFS(Operations[[Amount]:[Amount]],Operations[[Category]:[Category]],$A8,Operations[[Month]:[Month]],K$1)</f>
        <v>0</v>
      </c>
      <c r="L8" s="9">
        <f>SUMIFS(Operations[[Amount]:[Amount]],Operations[[Category]:[Category]],$A8,Operations[[Month]:[Month]],L$1)</f>
        <v>0</v>
      </c>
      <c r="M8" s="9">
        <f>SUMIFS(Operations[[Amount]:[Amount]],Operations[[Category]:[Category]],$A8,Operations[[Month]:[Month]],M$1)</f>
        <v>-234</v>
      </c>
      <c r="N8" s="9">
        <f>SUMIFS(Operations[[Amount]:[Amount]],Operations[[Category]:[Category]],$A8,Operations[[Month]:[Month]],N$1)</f>
        <v>-700</v>
      </c>
      <c r="O8" s="9">
        <f t="shared" si="0"/>
        <v>-2599</v>
      </c>
    </row>
    <row r="9" spans="1:15" outlineLevel="2" x14ac:dyDescent="0.3">
      <c r="A9" s="9" t="s">
        <v>23</v>
      </c>
      <c r="B9" s="9" t="s">
        <v>32</v>
      </c>
      <c r="C9" s="9">
        <f>SUMIFS(Operations[[Amount]:[Amount]],Operations[[Category]:[Category]],$A9,Operations[[Month]:[Month]],C$1)</f>
        <v>-100</v>
      </c>
      <c r="D9" s="9">
        <f>SUMIFS(Operations[[Amount]:[Amount]],Operations[[Category]:[Category]],$A9,Operations[[Month]:[Month]],D$1)</f>
        <v>-100</v>
      </c>
      <c r="E9" s="9">
        <f>SUMIFS(Operations[[Amount]:[Amount]],Operations[[Category]:[Category]],$A9,Operations[[Month]:[Month]],E$1)</f>
        <v>-79.5</v>
      </c>
      <c r="F9" s="9">
        <f>SUMIFS(Operations[[Amount]:[Amount]],Operations[[Category]:[Category]],$A9,Operations[[Month]:[Month]],F$1)</f>
        <v>-139</v>
      </c>
      <c r="G9" s="9">
        <f>SUMIFS(Operations[[Amount]:[Amount]],Operations[[Category]:[Category]],$A9,Operations[[Month]:[Month]],G$1)</f>
        <v>0</v>
      </c>
      <c r="H9" s="9">
        <f>SUMIFS(Operations[[Amount]:[Amount]],Operations[[Category]:[Category]],$A9,Operations[[Month]:[Month]],H$1)</f>
        <v>0</v>
      </c>
      <c r="I9" s="9">
        <f>SUMIFS(Operations[[Amount]:[Amount]],Operations[[Category]:[Category]],$A9,Operations[[Month]:[Month]],I$1)</f>
        <v>0</v>
      </c>
      <c r="J9" s="9">
        <f>SUMIFS(Operations[[Amount]:[Amount]],Operations[[Category]:[Category]],$A9,Operations[[Month]:[Month]],J$1)</f>
        <v>0</v>
      </c>
      <c r="K9" s="9">
        <f>SUMIFS(Operations[[Amount]:[Amount]],Operations[[Category]:[Category]],$A9,Operations[[Month]:[Month]],K$1)</f>
        <v>0</v>
      </c>
      <c r="L9" s="9">
        <f>SUMIFS(Operations[[Amount]:[Amount]],Operations[[Category]:[Category]],$A9,Operations[[Month]:[Month]],L$1)</f>
        <v>0</v>
      </c>
      <c r="M9" s="9">
        <f>SUMIFS(Operations[[Amount]:[Amount]],Operations[[Category]:[Category]],$A9,Operations[[Month]:[Month]],M$1)</f>
        <v>0</v>
      </c>
      <c r="N9" s="9">
        <f>SUMIFS(Operations[[Amount]:[Amount]],Operations[[Category]:[Category]],$A9,Operations[[Month]:[Month]],N$1)</f>
        <v>-100</v>
      </c>
      <c r="O9" s="9">
        <f t="shared" si="0"/>
        <v>-518.5</v>
      </c>
    </row>
    <row r="10" spans="1:15" outlineLevel="2" x14ac:dyDescent="0.3">
      <c r="A10" s="9" t="s">
        <v>16</v>
      </c>
      <c r="B10" s="9" t="s">
        <v>32</v>
      </c>
      <c r="C10" s="9">
        <f>SUMIFS(Operations[[Amount]:[Amount]],Operations[[Category]:[Category]],$A10,Operations[[Month]:[Month]],C$1)</f>
        <v>-80</v>
      </c>
      <c r="D10" s="9">
        <f>SUMIFS(Operations[[Amount]:[Amount]],Operations[[Category]:[Category]],$A10,Operations[[Month]:[Month]],D$1)</f>
        <v>-80</v>
      </c>
      <c r="E10" s="9">
        <f>SUMIFS(Operations[[Amount]:[Amount]],Operations[[Category]:[Category]],$A10,Operations[[Month]:[Month]],E$1)</f>
        <v>-82.5</v>
      </c>
      <c r="F10" s="9">
        <f>SUMIFS(Operations[[Amount]:[Amount]],Operations[[Category]:[Category]],$A10,Operations[[Month]:[Month]],F$1)</f>
        <v>-82.5</v>
      </c>
      <c r="G10" s="9">
        <f>SUMIFS(Operations[[Amount]:[Amount]],Operations[[Category]:[Category]],$A10,Operations[[Month]:[Month]],G$1)</f>
        <v>-80</v>
      </c>
      <c r="H10" s="9">
        <f>SUMIFS(Operations[[Amount]:[Amount]],Operations[[Category]:[Category]],$A10,Operations[[Month]:[Month]],H$1)</f>
        <v>-80</v>
      </c>
      <c r="I10" s="9">
        <f>SUMIFS(Operations[[Amount]:[Amount]],Operations[[Category]:[Category]],$A10,Operations[[Month]:[Month]],I$1)</f>
        <v>-90</v>
      </c>
      <c r="J10" s="9">
        <f>SUMIFS(Operations[[Amount]:[Amount]],Operations[[Category]:[Category]],$A10,Operations[[Month]:[Month]],J$1)</f>
        <v>-290</v>
      </c>
      <c r="K10" s="9">
        <f>SUMIFS(Operations[[Amount]:[Amount]],Operations[[Category]:[Category]],$A10,Operations[[Month]:[Month]],K$1)</f>
        <v>-150</v>
      </c>
      <c r="L10" s="9">
        <f>SUMIFS(Operations[[Amount]:[Amount]],Operations[[Category]:[Category]],$A10,Operations[[Month]:[Month]],L$1)</f>
        <v>-150</v>
      </c>
      <c r="M10" s="9">
        <f>SUMIFS(Operations[[Amount]:[Amount]],Operations[[Category]:[Category]],$A10,Operations[[Month]:[Month]],M$1)</f>
        <v>-208</v>
      </c>
      <c r="N10" s="9">
        <f>SUMIFS(Operations[[Amount]:[Amount]],Operations[[Category]:[Category]],$A10,Operations[[Month]:[Month]],N$1)</f>
        <v>0</v>
      </c>
      <c r="O10" s="9">
        <f t="shared" si="0"/>
        <v>-1373</v>
      </c>
    </row>
    <row r="11" spans="1:15" outlineLevel="1" x14ac:dyDescent="0.3">
      <c r="A11" s="9"/>
      <c r="B11" s="16" t="s">
        <v>51</v>
      </c>
      <c r="C11" s="9">
        <f t="shared" ref="C11:O11" si="1">SUBTOTAL(9,C2:C10)</f>
        <v>-4810</v>
      </c>
      <c r="D11" s="9">
        <f t="shared" si="1"/>
        <v>-4100.5</v>
      </c>
      <c r="E11" s="9">
        <f t="shared" si="1"/>
        <v>-3899.3900000000003</v>
      </c>
      <c r="F11" s="9">
        <f t="shared" si="1"/>
        <v>-3973.16</v>
      </c>
      <c r="G11" s="9">
        <f t="shared" si="1"/>
        <v>-3210</v>
      </c>
      <c r="H11" s="9">
        <f t="shared" si="1"/>
        <v>-3730</v>
      </c>
      <c r="I11" s="9">
        <f t="shared" si="1"/>
        <v>-3505</v>
      </c>
      <c r="J11" s="9">
        <f t="shared" si="1"/>
        <v>-3989.5</v>
      </c>
      <c r="K11" s="9">
        <f t="shared" si="1"/>
        <v>-2748.5</v>
      </c>
      <c r="L11" s="9">
        <f t="shared" si="1"/>
        <v>-2830</v>
      </c>
      <c r="M11" s="9">
        <f t="shared" si="1"/>
        <v>-3500</v>
      </c>
      <c r="N11" s="9">
        <f t="shared" si="1"/>
        <v>-4080</v>
      </c>
      <c r="O11" s="9">
        <f t="shared" si="1"/>
        <v>-44376.05</v>
      </c>
    </row>
    <row r="12" spans="1:15" outlineLevel="2" x14ac:dyDescent="0.3">
      <c r="A12" s="9" t="s">
        <v>25</v>
      </c>
      <c r="B12" s="9" t="s">
        <v>33</v>
      </c>
      <c r="C12" s="9">
        <f>SUMIFS(Operations[[Amount]:[Amount]],Operations[[Category]:[Category]],$A12,Operations[[Month]:[Month]],C$1)</f>
        <v>250</v>
      </c>
      <c r="D12" s="9">
        <f>SUMIFS(Operations[[Amount]:[Amount]],Operations[[Category]:[Category]],$A12,Operations[[Month]:[Month]],D$1)</f>
        <v>0</v>
      </c>
      <c r="E12" s="9">
        <f>SUMIFS(Operations[[Amount]:[Amount]],Operations[[Category]:[Category]],$A12,Operations[[Month]:[Month]],E$1)</f>
        <v>0</v>
      </c>
      <c r="F12" s="9">
        <f>SUMIFS(Operations[[Amount]:[Amount]],Operations[[Category]:[Category]],$A12,Operations[[Month]:[Month]],F$1)</f>
        <v>0</v>
      </c>
      <c r="G12" s="9">
        <f>SUMIFS(Operations[[Amount]:[Amount]],Operations[[Category]:[Category]],$A12,Operations[[Month]:[Month]],G$1)</f>
        <v>0</v>
      </c>
      <c r="H12" s="9">
        <f>SUMIFS(Operations[[Amount]:[Amount]],Operations[[Category]:[Category]],$A12,Operations[[Month]:[Month]],H$1)</f>
        <v>400</v>
      </c>
      <c r="I12" s="9">
        <f>SUMIFS(Operations[[Amount]:[Amount]],Operations[[Category]:[Category]],$A12,Operations[[Month]:[Month]],I$1)</f>
        <v>0</v>
      </c>
      <c r="J12" s="9">
        <f>SUMIFS(Operations[[Amount]:[Amount]],Operations[[Category]:[Category]],$A12,Operations[[Month]:[Month]],J$1)</f>
        <v>0</v>
      </c>
      <c r="K12" s="9">
        <f>SUMIFS(Operations[[Amount]:[Amount]],Operations[[Category]:[Category]],$A12,Operations[[Month]:[Month]],K$1)</f>
        <v>0</v>
      </c>
      <c r="L12" s="9">
        <f>SUMIFS(Operations[[Amount]:[Amount]],Operations[[Category]:[Category]],$A12,Operations[[Month]:[Month]],L$1)</f>
        <v>0</v>
      </c>
      <c r="M12" s="9">
        <f>SUMIFS(Operations[[Amount]:[Amount]],Operations[[Category]:[Category]],$A12,Operations[[Month]:[Month]],M$1)</f>
        <v>0</v>
      </c>
      <c r="N12" s="9">
        <f>SUMIFS(Operations[[Amount]:[Amount]],Operations[[Category]:[Category]],$A12,Operations[[Month]:[Month]],N$1)</f>
        <v>0</v>
      </c>
      <c r="O12" s="9">
        <f t="shared" si="0"/>
        <v>650</v>
      </c>
    </row>
    <row r="13" spans="1:15" outlineLevel="2" x14ac:dyDescent="0.3">
      <c r="A13" s="9" t="s">
        <v>28</v>
      </c>
      <c r="B13" s="9" t="s">
        <v>33</v>
      </c>
      <c r="C13" s="9">
        <f>SUMIFS(Operations[[Amount]:[Amount]],Operations[[Category]:[Category]],$A13,Operations[[Month]:[Month]],C$1)</f>
        <v>105.5</v>
      </c>
      <c r="D13" s="9">
        <f>SUMIFS(Operations[[Amount]:[Amount]],Operations[[Category]:[Category]],$A13,Operations[[Month]:[Month]],D$1)</f>
        <v>115</v>
      </c>
      <c r="E13" s="9">
        <f>SUMIFS(Operations[[Amount]:[Amount]],Operations[[Category]:[Category]],$A13,Operations[[Month]:[Month]],E$1)</f>
        <v>150</v>
      </c>
      <c r="F13" s="9">
        <f>SUMIFS(Operations[[Amount]:[Amount]],Operations[[Category]:[Category]],$A13,Operations[[Month]:[Month]],F$1)</f>
        <v>150</v>
      </c>
      <c r="G13" s="9">
        <f>SUMIFS(Operations[[Amount]:[Amount]],Operations[[Category]:[Category]],$A13,Operations[[Month]:[Month]],G$1)</f>
        <v>0</v>
      </c>
      <c r="H13" s="9">
        <f>SUMIFS(Operations[[Amount]:[Amount]],Operations[[Category]:[Category]],$A13,Operations[[Month]:[Month]],H$1)</f>
        <v>0</v>
      </c>
      <c r="I13" s="9">
        <f>SUMIFS(Operations[[Amount]:[Amount]],Operations[[Category]:[Category]],$A13,Operations[[Month]:[Month]],I$1)</f>
        <v>120</v>
      </c>
      <c r="J13" s="9">
        <f>SUMIFS(Operations[[Amount]:[Amount]],Operations[[Category]:[Category]],$A13,Operations[[Month]:[Month]],J$1)</f>
        <v>0</v>
      </c>
      <c r="K13" s="9">
        <f>SUMIFS(Operations[[Amount]:[Amount]],Operations[[Category]:[Category]],$A13,Operations[[Month]:[Month]],K$1)</f>
        <v>0</v>
      </c>
      <c r="L13" s="9">
        <f>SUMIFS(Operations[[Amount]:[Amount]],Operations[[Category]:[Category]],$A13,Operations[[Month]:[Month]],L$1)</f>
        <v>0</v>
      </c>
      <c r="M13" s="9">
        <f>SUMIFS(Operations[[Amount]:[Amount]],Operations[[Category]:[Category]],$A13,Operations[[Month]:[Month]],M$1)</f>
        <v>0</v>
      </c>
      <c r="N13" s="9">
        <f>SUMIFS(Operations[[Amount]:[Amount]],Operations[[Category]:[Category]],$A13,Operations[[Month]:[Month]],N$1)</f>
        <v>0</v>
      </c>
      <c r="O13" s="9">
        <f t="shared" si="0"/>
        <v>640.5</v>
      </c>
    </row>
    <row r="14" spans="1:15" outlineLevel="2" x14ac:dyDescent="0.3">
      <c r="A14" s="9" t="s">
        <v>29</v>
      </c>
      <c r="B14" s="9" t="s">
        <v>33</v>
      </c>
      <c r="C14" s="9">
        <f>SUMIFS(Operations[[Amount]:[Amount]],Operations[[Category]:[Category]],$A14,Operations[[Month]:[Month]],C$1)</f>
        <v>0</v>
      </c>
      <c r="D14" s="9">
        <f>SUMIFS(Operations[[Amount]:[Amount]],Operations[[Category]:[Category]],$A14,Operations[[Month]:[Month]],D$1)</f>
        <v>0</v>
      </c>
      <c r="E14" s="9">
        <f>SUMIFS(Operations[[Amount]:[Amount]],Operations[[Category]:[Category]],$A14,Operations[[Month]:[Month]],E$1)</f>
        <v>5</v>
      </c>
      <c r="F14" s="9">
        <f>SUMIFS(Operations[[Amount]:[Amount]],Operations[[Category]:[Category]],$A14,Operations[[Month]:[Month]],F$1)</f>
        <v>50</v>
      </c>
      <c r="G14" s="9">
        <f>SUMIFS(Operations[[Amount]:[Amount]],Operations[[Category]:[Category]],$A14,Operations[[Month]:[Month]],G$1)</f>
        <v>0</v>
      </c>
      <c r="H14" s="9">
        <f>SUMIFS(Operations[[Amount]:[Amount]],Operations[[Category]:[Category]],$A14,Operations[[Month]:[Month]],H$1)</f>
        <v>0</v>
      </c>
      <c r="I14" s="9">
        <f>SUMIFS(Operations[[Amount]:[Amount]],Operations[[Category]:[Category]],$A14,Operations[[Month]:[Month]],I$1)</f>
        <v>800</v>
      </c>
      <c r="J14" s="9">
        <f>SUMIFS(Operations[[Amount]:[Amount]],Operations[[Category]:[Category]],$A14,Operations[[Month]:[Month]],J$1)</f>
        <v>400</v>
      </c>
      <c r="K14" s="9">
        <f>SUMIFS(Operations[[Amount]:[Amount]],Operations[[Category]:[Category]],$A14,Operations[[Month]:[Month]],K$1)</f>
        <v>0</v>
      </c>
      <c r="L14" s="9">
        <f>SUMIFS(Operations[[Amount]:[Amount]],Operations[[Category]:[Category]],$A14,Operations[[Month]:[Month]],L$1)</f>
        <v>0</v>
      </c>
      <c r="M14" s="9">
        <f>SUMIFS(Operations[[Amount]:[Amount]],Operations[[Category]:[Category]],$A14,Operations[[Month]:[Month]],M$1)</f>
        <v>400</v>
      </c>
      <c r="N14" s="9">
        <f>SUMIFS(Operations[[Amount]:[Amount]],Operations[[Category]:[Category]],$A14,Operations[[Month]:[Month]],N$1)</f>
        <v>2000</v>
      </c>
      <c r="O14" s="9">
        <f t="shared" si="0"/>
        <v>3655</v>
      </c>
    </row>
    <row r="15" spans="1:15" outlineLevel="2" x14ac:dyDescent="0.3">
      <c r="A15" s="9" t="s">
        <v>30</v>
      </c>
      <c r="B15" s="9" t="s">
        <v>33</v>
      </c>
      <c r="C15" s="9">
        <f>SUMIFS(Operations[[Amount]:[Amount]],Operations[[Category]:[Category]],$A15,Operations[[Month]:[Month]],C$1)</f>
        <v>800</v>
      </c>
      <c r="D15" s="9">
        <f>SUMIFS(Operations[[Amount]:[Amount]],Operations[[Category]:[Category]],$A15,Operations[[Month]:[Month]],D$1)</f>
        <v>1950</v>
      </c>
      <c r="E15" s="9">
        <f>SUMIFS(Operations[[Amount]:[Amount]],Operations[[Category]:[Category]],$A15,Operations[[Month]:[Month]],E$1)</f>
        <v>0</v>
      </c>
      <c r="F15" s="9">
        <f>SUMIFS(Operations[[Amount]:[Amount]],Operations[[Category]:[Category]],$A15,Operations[[Month]:[Month]],F$1)</f>
        <v>0</v>
      </c>
      <c r="G15" s="9">
        <f>SUMIFS(Operations[[Amount]:[Amount]],Operations[[Category]:[Category]],$A15,Operations[[Month]:[Month]],G$1)</f>
        <v>0</v>
      </c>
      <c r="H15" s="9">
        <f>SUMIFS(Operations[[Amount]:[Amount]],Operations[[Category]:[Category]],$A15,Operations[[Month]:[Month]],H$1)</f>
        <v>0</v>
      </c>
      <c r="I15" s="9">
        <f>SUMIFS(Operations[[Amount]:[Amount]],Operations[[Category]:[Category]],$A15,Operations[[Month]:[Month]],I$1)</f>
        <v>0</v>
      </c>
      <c r="J15" s="9">
        <f>SUMIFS(Operations[[Amount]:[Amount]],Operations[[Category]:[Category]],$A15,Operations[[Month]:[Month]],J$1)</f>
        <v>0</v>
      </c>
      <c r="K15" s="9">
        <f>SUMIFS(Operations[[Amount]:[Amount]],Operations[[Category]:[Category]],$A15,Operations[[Month]:[Month]],K$1)</f>
        <v>0</v>
      </c>
      <c r="L15" s="9">
        <f>SUMIFS(Operations[[Amount]:[Amount]],Operations[[Category]:[Category]],$A15,Operations[[Month]:[Month]],L$1)</f>
        <v>0</v>
      </c>
      <c r="M15" s="9">
        <f>SUMIFS(Operations[[Amount]:[Amount]],Operations[[Category]:[Category]],$A15,Operations[[Month]:[Month]],M$1)</f>
        <v>0</v>
      </c>
      <c r="N15" s="9">
        <f>SUMIFS(Operations[[Amount]:[Amount]],Operations[[Category]:[Category]],$A15,Operations[[Month]:[Month]],N$1)</f>
        <v>0</v>
      </c>
      <c r="O15" s="9">
        <f t="shared" si="0"/>
        <v>2750</v>
      </c>
    </row>
    <row r="16" spans="1:15" outlineLevel="2" x14ac:dyDescent="0.3">
      <c r="A16" s="9" t="s">
        <v>26</v>
      </c>
      <c r="B16" s="9" t="s">
        <v>33</v>
      </c>
      <c r="C16" s="9">
        <f>SUMIFS(Operations[[Amount]:[Amount]],Operations[[Category]:[Category]],$A16,Operations[[Month]:[Month]],C$1)</f>
        <v>4500</v>
      </c>
      <c r="D16" s="9">
        <f>SUMIFS(Operations[[Amount]:[Amount]],Operations[[Category]:[Category]],$A16,Operations[[Month]:[Month]],D$1)</f>
        <v>4500</v>
      </c>
      <c r="E16" s="9">
        <f>SUMIFS(Operations[[Amount]:[Amount]],Operations[[Category]:[Category]],$A16,Operations[[Month]:[Month]],E$1)</f>
        <v>4500</v>
      </c>
      <c r="F16" s="9">
        <f>SUMIFS(Operations[[Amount]:[Amount]],Operations[[Category]:[Category]],$A16,Operations[[Month]:[Month]],F$1)</f>
        <v>4500</v>
      </c>
      <c r="G16" s="9">
        <f>SUMIFS(Operations[[Amount]:[Amount]],Operations[[Category]:[Category]],$A16,Operations[[Month]:[Month]],G$1)</f>
        <v>4500</v>
      </c>
      <c r="H16" s="9">
        <f>SUMIFS(Operations[[Amount]:[Amount]],Operations[[Category]:[Category]],$A16,Operations[[Month]:[Month]],H$1)</f>
        <v>4500</v>
      </c>
      <c r="I16" s="9">
        <f>SUMIFS(Operations[[Amount]:[Amount]],Operations[[Category]:[Category]],$A16,Operations[[Month]:[Month]],I$1)</f>
        <v>4500</v>
      </c>
      <c r="J16" s="9">
        <f>SUMIFS(Operations[[Amount]:[Amount]],Operations[[Category]:[Category]],$A16,Operations[[Month]:[Month]],J$1)</f>
        <v>4500</v>
      </c>
      <c r="K16" s="9">
        <f>SUMIFS(Operations[[Amount]:[Amount]],Operations[[Category]:[Category]],$A16,Operations[[Month]:[Month]],K$1)</f>
        <v>4500</v>
      </c>
      <c r="L16" s="9">
        <f>SUMIFS(Operations[[Amount]:[Amount]],Operations[[Category]:[Category]],$A16,Operations[[Month]:[Month]],L$1)</f>
        <v>4500</v>
      </c>
      <c r="M16" s="9">
        <f>SUMIFS(Operations[[Amount]:[Amount]],Operations[[Category]:[Category]],$A16,Operations[[Month]:[Month]],M$1)</f>
        <v>4500</v>
      </c>
      <c r="N16" s="9">
        <f>SUMIFS(Operations[[Amount]:[Amount]],Operations[[Category]:[Category]],$A16,Operations[[Month]:[Month]],N$1)</f>
        <v>4500</v>
      </c>
      <c r="O16" s="9">
        <f t="shared" si="0"/>
        <v>54000</v>
      </c>
    </row>
    <row r="17" spans="1:15" outlineLevel="2" x14ac:dyDescent="0.3">
      <c r="A17" s="9" t="s">
        <v>27</v>
      </c>
      <c r="B17" s="9" t="s">
        <v>33</v>
      </c>
      <c r="C17" s="9">
        <f>SUMIFS(Operations[[Amount]:[Amount]],Operations[[Category]:[Category]],$A17,Operations[[Month]:[Month]],C$1)</f>
        <v>0</v>
      </c>
      <c r="D17" s="9">
        <f>SUMIFS(Operations[[Amount]:[Amount]],Operations[[Category]:[Category]],$A17,Operations[[Month]:[Month]],D$1)</f>
        <v>0</v>
      </c>
      <c r="E17" s="9">
        <f>SUMIFS(Operations[[Amount]:[Amount]],Operations[[Category]:[Category]],$A17,Operations[[Month]:[Month]],E$1)</f>
        <v>0</v>
      </c>
      <c r="F17" s="9">
        <f>SUMIFS(Operations[[Amount]:[Amount]],Operations[[Category]:[Category]],$A17,Operations[[Month]:[Month]],F$1)</f>
        <v>0</v>
      </c>
      <c r="G17" s="9">
        <f>SUMIFS(Operations[[Amount]:[Amount]],Operations[[Category]:[Category]],$A17,Operations[[Month]:[Month]],G$1)</f>
        <v>0</v>
      </c>
      <c r="H17" s="9">
        <f>SUMIFS(Operations[[Amount]:[Amount]],Operations[[Category]:[Category]],$A17,Operations[[Month]:[Month]],H$1)</f>
        <v>0</v>
      </c>
      <c r="I17" s="9">
        <f>SUMIFS(Operations[[Amount]:[Amount]],Operations[[Category]:[Category]],$A17,Operations[[Month]:[Month]],I$1)</f>
        <v>500</v>
      </c>
      <c r="J17" s="9">
        <f>SUMIFS(Operations[[Amount]:[Amount]],Operations[[Category]:[Category]],$A17,Operations[[Month]:[Month]],J$1)</f>
        <v>500</v>
      </c>
      <c r="K17" s="9">
        <f>SUMIFS(Operations[[Amount]:[Amount]],Operations[[Category]:[Category]],$A17,Operations[[Month]:[Month]],K$1)</f>
        <v>0</v>
      </c>
      <c r="L17" s="9">
        <f>SUMIFS(Operations[[Amount]:[Amount]],Operations[[Category]:[Category]],$A17,Operations[[Month]:[Month]],L$1)</f>
        <v>0</v>
      </c>
      <c r="M17" s="9">
        <f>SUMIFS(Operations[[Amount]:[Amount]],Operations[[Category]:[Category]],$A17,Operations[[Month]:[Month]],M$1)</f>
        <v>0</v>
      </c>
      <c r="N17" s="9">
        <f>SUMIFS(Operations[[Amount]:[Amount]],Operations[[Category]:[Category]],$A17,Operations[[Month]:[Month]],N$1)</f>
        <v>0</v>
      </c>
      <c r="O17" s="9">
        <f t="shared" si="0"/>
        <v>1000</v>
      </c>
    </row>
    <row r="18" spans="1:15" outlineLevel="1" x14ac:dyDescent="0.3">
      <c r="A18" s="9"/>
      <c r="B18" s="16" t="s">
        <v>52</v>
      </c>
      <c r="C18" s="9">
        <f t="shared" ref="C18:O18" si="2">SUBTOTAL(9,C12:C17)</f>
        <v>5655.5</v>
      </c>
      <c r="D18" s="9">
        <f t="shared" si="2"/>
        <v>6565</v>
      </c>
      <c r="E18" s="9">
        <f t="shared" si="2"/>
        <v>4655</v>
      </c>
      <c r="F18" s="9">
        <f t="shared" si="2"/>
        <v>4700</v>
      </c>
      <c r="G18" s="9">
        <f t="shared" si="2"/>
        <v>4500</v>
      </c>
      <c r="H18" s="9">
        <f t="shared" si="2"/>
        <v>4900</v>
      </c>
      <c r="I18" s="9">
        <f t="shared" si="2"/>
        <v>5920</v>
      </c>
      <c r="J18" s="9">
        <f t="shared" si="2"/>
        <v>5400</v>
      </c>
      <c r="K18" s="9">
        <f t="shared" si="2"/>
        <v>4500</v>
      </c>
      <c r="L18" s="9">
        <f t="shared" si="2"/>
        <v>4500</v>
      </c>
      <c r="M18" s="9">
        <f t="shared" si="2"/>
        <v>4900</v>
      </c>
      <c r="N18" s="9">
        <f t="shared" si="2"/>
        <v>6500</v>
      </c>
      <c r="O18" s="9">
        <f t="shared" si="2"/>
        <v>62695.5</v>
      </c>
    </row>
    <row r="19" spans="1:15" outlineLevel="2" x14ac:dyDescent="0.3">
      <c r="A19" s="9" t="s">
        <v>31</v>
      </c>
      <c r="B19" s="9" t="s">
        <v>31</v>
      </c>
      <c r="C19" s="9">
        <f>SUMIFS(Operations[[Amount]:[Amount]],Operations[[Category]:[Category]],$A19,Operations[[Month]:[Month]],C$1)</f>
        <v>0</v>
      </c>
      <c r="D19" s="9">
        <f>SUMIFS(Operations[[Amount]:[Amount]],Operations[[Category]:[Category]],$A19,Operations[[Month]:[Month]],D$1)</f>
        <v>0</v>
      </c>
      <c r="E19" s="9">
        <f>SUMIFS(Operations[[Amount]:[Amount]],Operations[[Category]:[Category]],$A19,Operations[[Month]:[Month]],E$1)</f>
        <v>0</v>
      </c>
      <c r="F19" s="9">
        <f>SUMIFS(Operations[[Amount]:[Amount]],Operations[[Category]:[Category]],$A19,Operations[[Month]:[Month]],F$1)</f>
        <v>0</v>
      </c>
      <c r="G19" s="9">
        <f>SUMIFS(Operations[[Amount]:[Amount]],Operations[[Category]:[Category]],$A19,Operations[[Month]:[Month]],G$1)</f>
        <v>0</v>
      </c>
      <c r="H19" s="9">
        <f>SUMIFS(Operations[[Amount]:[Amount]],Operations[[Category]:[Category]],$A19,Operations[[Month]:[Month]],H$1)</f>
        <v>0</v>
      </c>
      <c r="I19" s="9">
        <f>SUMIFS(Operations[[Amount]:[Amount]],Operations[[Category]:[Category]],$A19,Operations[[Month]:[Month]],I$1)</f>
        <v>0</v>
      </c>
      <c r="J19" s="9">
        <f>SUMIFS(Operations[[Amount]:[Amount]],Operations[[Category]:[Category]],$A19,Operations[[Month]:[Month]],J$1)</f>
        <v>0</v>
      </c>
      <c r="K19" s="9">
        <f>SUMIFS(Operations[[Amount]:[Amount]],Operations[[Category]:[Category]],$A19,Operations[[Month]:[Month]],K$1)</f>
        <v>0</v>
      </c>
      <c r="L19" s="9">
        <f>SUMIFS(Operations[[Amount]:[Amount]],Operations[[Category]:[Category]],$A19,Operations[[Month]:[Month]],L$1)</f>
        <v>0</v>
      </c>
      <c r="M19" s="9">
        <f>SUMIFS(Operations[[Amount]:[Amount]],Operations[[Category]:[Category]],$A19,Operations[[Month]:[Month]],M$1)</f>
        <v>0</v>
      </c>
      <c r="N19" s="9">
        <f>SUMIFS(Operations[[Amount]:[Amount]],Operations[[Category]:[Category]],$A19,Operations[[Month]:[Month]],N$1)</f>
        <v>0</v>
      </c>
      <c r="O19" s="9">
        <f t="shared" si="0"/>
        <v>0</v>
      </c>
    </row>
    <row r="20" spans="1:15" outlineLevel="1" x14ac:dyDescent="0.3">
      <c r="A20" s="9"/>
      <c r="B20" s="16" t="s">
        <v>53</v>
      </c>
      <c r="C20" s="9">
        <f t="shared" ref="C20:O20" si="3">SUBTOTAL(9,C19:C19)</f>
        <v>0</v>
      </c>
      <c r="D20" s="9">
        <f t="shared" si="3"/>
        <v>0</v>
      </c>
      <c r="E20" s="9">
        <f t="shared" si="3"/>
        <v>0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0</v>
      </c>
      <c r="K20" s="9">
        <f t="shared" si="3"/>
        <v>0</v>
      </c>
      <c r="L20" s="9">
        <f t="shared" si="3"/>
        <v>0</v>
      </c>
      <c r="M20" s="9">
        <f t="shared" si="3"/>
        <v>0</v>
      </c>
      <c r="N20" s="9">
        <f t="shared" si="3"/>
        <v>0</v>
      </c>
      <c r="O20" s="9">
        <f t="shared" si="3"/>
        <v>0</v>
      </c>
    </row>
    <row r="21" spans="1:15" x14ac:dyDescent="0.3">
      <c r="A21" s="9"/>
      <c r="B21" s="16" t="s">
        <v>54</v>
      </c>
      <c r="C21" s="9">
        <f t="shared" ref="C21:O21" si="4">SUBTOTAL(9,C2:C19)</f>
        <v>845.5</v>
      </c>
      <c r="D21" s="9">
        <f t="shared" si="4"/>
        <v>2464.5</v>
      </c>
      <c r="E21" s="9">
        <f t="shared" si="4"/>
        <v>755.60999999999967</v>
      </c>
      <c r="F21" s="9">
        <f t="shared" si="4"/>
        <v>726.84000000000015</v>
      </c>
      <c r="G21" s="9">
        <f t="shared" si="4"/>
        <v>1290</v>
      </c>
      <c r="H21" s="9">
        <f t="shared" si="4"/>
        <v>1170</v>
      </c>
      <c r="I21" s="9">
        <f t="shared" si="4"/>
        <v>2415</v>
      </c>
      <c r="J21" s="9">
        <f t="shared" si="4"/>
        <v>1410.5</v>
      </c>
      <c r="K21" s="9">
        <f t="shared" si="4"/>
        <v>1751.5</v>
      </c>
      <c r="L21" s="9">
        <f t="shared" si="4"/>
        <v>1670</v>
      </c>
      <c r="M21" s="9">
        <f t="shared" si="4"/>
        <v>1400</v>
      </c>
      <c r="N21" s="9">
        <f t="shared" si="4"/>
        <v>2420</v>
      </c>
      <c r="O21" s="9">
        <f t="shared" si="4"/>
        <v>18319.449999999997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C67D-E248-462B-BAB2-B1D66A1B5188}">
  <dimension ref="A3:N24"/>
  <sheetViews>
    <sheetView tabSelected="1" workbookViewId="0">
      <selection activeCell="A22" sqref="A22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13" width="10.44140625" bestFit="1" customWidth="1"/>
    <col min="14" max="14" width="11.44140625" bestFit="1" customWidth="1"/>
  </cols>
  <sheetData>
    <row r="3" spans="1:14" x14ac:dyDescent="0.3">
      <c r="A3" s="17" t="s">
        <v>56</v>
      </c>
      <c r="B3" s="17" t="s">
        <v>57</v>
      </c>
    </row>
    <row r="4" spans="1:14" x14ac:dyDescent="0.3">
      <c r="A4" s="17" t="s">
        <v>55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54</v>
      </c>
    </row>
    <row r="5" spans="1:14" x14ac:dyDescent="0.3">
      <c r="A5" s="18" t="s">
        <v>32</v>
      </c>
      <c r="B5" s="20">
        <v>-4810</v>
      </c>
      <c r="C5" s="20">
        <v>-4100.5</v>
      </c>
      <c r="D5" s="20">
        <v>-3899.3900000000003</v>
      </c>
      <c r="E5" s="20">
        <v>-3973.16</v>
      </c>
      <c r="F5" s="20">
        <v>-3210</v>
      </c>
      <c r="G5" s="20">
        <v>-3730</v>
      </c>
      <c r="H5" s="20">
        <v>-3505</v>
      </c>
      <c r="I5" s="20">
        <v>-3989.5</v>
      </c>
      <c r="J5" s="20">
        <v>-2748.5</v>
      </c>
      <c r="K5" s="20">
        <v>-2830</v>
      </c>
      <c r="L5" s="20">
        <v>-3500</v>
      </c>
      <c r="M5" s="20">
        <v>-4080</v>
      </c>
      <c r="N5" s="20">
        <v>-44376.05</v>
      </c>
    </row>
    <row r="6" spans="1:14" x14ac:dyDescent="0.3">
      <c r="A6" s="19" t="s">
        <v>18</v>
      </c>
      <c r="B6" s="20">
        <v>-2000</v>
      </c>
      <c r="C6" s="20">
        <v>-2000</v>
      </c>
      <c r="D6" s="20">
        <v>-2000</v>
      </c>
      <c r="E6" s="20">
        <v>-2000</v>
      </c>
      <c r="F6" s="20">
        <v>-2000</v>
      </c>
      <c r="G6" s="20">
        <v>-2000</v>
      </c>
      <c r="H6" s="20">
        <v>-2000</v>
      </c>
      <c r="I6" s="20">
        <v>-2000</v>
      </c>
      <c r="J6" s="20">
        <v>-2000</v>
      </c>
      <c r="K6" s="20">
        <v>-2000</v>
      </c>
      <c r="L6" s="20">
        <v>-2000</v>
      </c>
      <c r="M6" s="20">
        <v>-2000</v>
      </c>
      <c r="N6" s="20">
        <v>-24000</v>
      </c>
    </row>
    <row r="7" spans="1:14" x14ac:dyDescent="0.3">
      <c r="A7" s="19" t="s">
        <v>22</v>
      </c>
      <c r="B7" s="20">
        <v>-80</v>
      </c>
      <c r="C7" s="20"/>
      <c r="D7" s="20">
        <v>-469.9</v>
      </c>
      <c r="E7" s="20">
        <v>-149</v>
      </c>
      <c r="F7" s="20"/>
      <c r="G7" s="20">
        <v>-300</v>
      </c>
      <c r="H7" s="20">
        <v>-250</v>
      </c>
      <c r="I7" s="20">
        <v>-300</v>
      </c>
      <c r="J7" s="20"/>
      <c r="K7" s="20"/>
      <c r="L7" s="20">
        <v>-158</v>
      </c>
      <c r="M7" s="20">
        <v>-120</v>
      </c>
      <c r="N7" s="20">
        <v>-1826.9</v>
      </c>
    </row>
    <row r="8" spans="1:14" x14ac:dyDescent="0.3">
      <c r="A8" s="19" t="s">
        <v>20</v>
      </c>
      <c r="B8" s="20">
        <v>-85</v>
      </c>
      <c r="C8" s="20">
        <v>-350</v>
      </c>
      <c r="D8" s="20">
        <v>-200</v>
      </c>
      <c r="E8" s="20">
        <v>-1057.9000000000001</v>
      </c>
      <c r="F8" s="20">
        <v>-80</v>
      </c>
      <c r="G8" s="20">
        <v>-200</v>
      </c>
      <c r="H8" s="20">
        <v>-700</v>
      </c>
      <c r="I8" s="20">
        <v>-250</v>
      </c>
      <c r="J8" s="20">
        <v>-20</v>
      </c>
      <c r="K8" s="20">
        <v>-40</v>
      </c>
      <c r="L8" s="20">
        <v>-214</v>
      </c>
      <c r="M8" s="20">
        <v>-450</v>
      </c>
      <c r="N8" s="20">
        <v>-3646.9</v>
      </c>
    </row>
    <row r="9" spans="1:14" x14ac:dyDescent="0.3">
      <c r="A9" s="19" t="s">
        <v>17</v>
      </c>
      <c r="B9" s="20">
        <v>-1715</v>
      </c>
      <c r="C9" s="20">
        <v>-405.5</v>
      </c>
      <c r="D9" s="20">
        <v>-734.99</v>
      </c>
      <c r="E9" s="20">
        <v>-372.26</v>
      </c>
      <c r="F9" s="20">
        <v>-1000</v>
      </c>
      <c r="G9" s="20">
        <v>-1000</v>
      </c>
      <c r="H9" s="20">
        <v>-165</v>
      </c>
      <c r="I9" s="20">
        <v>-749.5</v>
      </c>
      <c r="J9" s="20">
        <v>-538.5</v>
      </c>
      <c r="K9" s="20">
        <v>-600</v>
      </c>
      <c r="L9" s="20">
        <v>-506</v>
      </c>
      <c r="M9" s="20">
        <v>-700</v>
      </c>
      <c r="N9" s="20">
        <v>-8486.75</v>
      </c>
    </row>
    <row r="10" spans="1:14" x14ac:dyDescent="0.3">
      <c r="A10" s="19" t="s">
        <v>21</v>
      </c>
      <c r="B10" s="20">
        <v>-100</v>
      </c>
      <c r="C10" s="20">
        <v>-250</v>
      </c>
      <c r="D10" s="20">
        <v>-9.5</v>
      </c>
      <c r="E10" s="20">
        <v>-23.5</v>
      </c>
      <c r="F10" s="20"/>
      <c r="G10" s="20">
        <v>-100</v>
      </c>
      <c r="H10" s="20">
        <v>-300</v>
      </c>
      <c r="I10" s="20">
        <v>-400</v>
      </c>
      <c r="J10" s="20"/>
      <c r="K10" s="20"/>
      <c r="L10" s="20">
        <v>-133</v>
      </c>
      <c r="M10" s="20">
        <v>-10</v>
      </c>
      <c r="N10" s="20">
        <v>-1326</v>
      </c>
    </row>
    <row r="11" spans="1:14" x14ac:dyDescent="0.3">
      <c r="A11" s="19" t="s">
        <v>19</v>
      </c>
      <c r="B11" s="20">
        <v>-150</v>
      </c>
      <c r="C11" s="20">
        <v>-150</v>
      </c>
      <c r="D11" s="20">
        <v>-23</v>
      </c>
      <c r="E11" s="20">
        <v>-49</v>
      </c>
      <c r="F11" s="20">
        <v>-50</v>
      </c>
      <c r="G11" s="20">
        <v>-50</v>
      </c>
      <c r="H11" s="20"/>
      <c r="I11" s="20"/>
      <c r="J11" s="20">
        <v>-40</v>
      </c>
      <c r="K11" s="20">
        <v>-40</v>
      </c>
      <c r="L11" s="20">
        <v>-47</v>
      </c>
      <c r="M11" s="20"/>
      <c r="N11" s="20">
        <v>-599</v>
      </c>
    </row>
    <row r="12" spans="1:14" x14ac:dyDescent="0.3">
      <c r="A12" s="19" t="s">
        <v>24</v>
      </c>
      <c r="B12" s="20">
        <v>-500</v>
      </c>
      <c r="C12" s="20">
        <v>-765</v>
      </c>
      <c r="D12" s="20">
        <v>-300</v>
      </c>
      <c r="E12" s="20">
        <v>-100</v>
      </c>
      <c r="F12" s="20"/>
      <c r="G12" s="20"/>
      <c r="H12" s="20"/>
      <c r="I12" s="20"/>
      <c r="J12" s="20"/>
      <c r="K12" s="20"/>
      <c r="L12" s="20">
        <v>-234</v>
      </c>
      <c r="M12" s="20">
        <v>-700</v>
      </c>
      <c r="N12" s="20">
        <v>-2599</v>
      </c>
    </row>
    <row r="13" spans="1:14" x14ac:dyDescent="0.3">
      <c r="A13" s="19" t="s">
        <v>23</v>
      </c>
      <c r="B13" s="20">
        <v>-100</v>
      </c>
      <c r="C13" s="20">
        <v>-100</v>
      </c>
      <c r="D13" s="20">
        <v>-79.5</v>
      </c>
      <c r="E13" s="20">
        <v>-139</v>
      </c>
      <c r="F13" s="20"/>
      <c r="G13" s="20"/>
      <c r="H13" s="20"/>
      <c r="I13" s="20"/>
      <c r="J13" s="20"/>
      <c r="K13" s="20"/>
      <c r="L13" s="20"/>
      <c r="M13" s="20">
        <v>-100</v>
      </c>
      <c r="N13" s="20">
        <v>-518.5</v>
      </c>
    </row>
    <row r="14" spans="1:14" x14ac:dyDescent="0.3">
      <c r="A14" s="19" t="s">
        <v>16</v>
      </c>
      <c r="B14" s="20">
        <v>-80</v>
      </c>
      <c r="C14" s="20">
        <v>-80</v>
      </c>
      <c r="D14" s="20">
        <v>-82.5</v>
      </c>
      <c r="E14" s="20">
        <v>-82.5</v>
      </c>
      <c r="F14" s="20">
        <v>-80</v>
      </c>
      <c r="G14" s="20">
        <v>-80</v>
      </c>
      <c r="H14" s="20">
        <v>-90</v>
      </c>
      <c r="I14" s="20">
        <v>-290</v>
      </c>
      <c r="J14" s="20">
        <v>-150</v>
      </c>
      <c r="K14" s="20">
        <v>-150</v>
      </c>
      <c r="L14" s="20">
        <v>-208</v>
      </c>
      <c r="M14" s="20"/>
      <c r="N14" s="20">
        <v>-1373</v>
      </c>
    </row>
    <row r="15" spans="1:14" x14ac:dyDescent="0.3">
      <c r="A15" s="18" t="s">
        <v>33</v>
      </c>
      <c r="B15" s="20">
        <v>5655.5</v>
      </c>
      <c r="C15" s="20">
        <v>6565</v>
      </c>
      <c r="D15" s="20">
        <v>4655</v>
      </c>
      <c r="E15" s="20">
        <v>4700</v>
      </c>
      <c r="F15" s="20">
        <v>4500</v>
      </c>
      <c r="G15" s="20">
        <v>4900</v>
      </c>
      <c r="H15" s="20">
        <v>5920</v>
      </c>
      <c r="I15" s="20">
        <v>5400</v>
      </c>
      <c r="J15" s="20">
        <v>4500</v>
      </c>
      <c r="K15" s="20">
        <v>4500</v>
      </c>
      <c r="L15" s="20">
        <v>4900</v>
      </c>
      <c r="M15" s="20">
        <v>6500</v>
      </c>
      <c r="N15" s="20">
        <v>62695.5</v>
      </c>
    </row>
    <row r="16" spans="1:14" x14ac:dyDescent="0.3">
      <c r="A16" s="19" t="s">
        <v>25</v>
      </c>
      <c r="B16" s="20">
        <v>250</v>
      </c>
      <c r="C16" s="20"/>
      <c r="D16" s="20"/>
      <c r="E16" s="20"/>
      <c r="F16" s="20"/>
      <c r="G16" s="20">
        <v>400</v>
      </c>
      <c r="H16" s="20"/>
      <c r="I16" s="20"/>
      <c r="J16" s="20"/>
      <c r="K16" s="20"/>
      <c r="L16" s="20"/>
      <c r="M16" s="20"/>
      <c r="N16" s="20">
        <v>650</v>
      </c>
    </row>
    <row r="17" spans="1:14" x14ac:dyDescent="0.3">
      <c r="A17" s="19" t="s">
        <v>28</v>
      </c>
      <c r="B17" s="20">
        <v>105.5</v>
      </c>
      <c r="C17" s="20">
        <v>115</v>
      </c>
      <c r="D17" s="20">
        <v>150</v>
      </c>
      <c r="E17" s="20">
        <v>150</v>
      </c>
      <c r="F17" s="20"/>
      <c r="G17" s="20"/>
      <c r="H17" s="20">
        <v>120</v>
      </c>
      <c r="I17" s="20"/>
      <c r="J17" s="20"/>
      <c r="K17" s="20"/>
      <c r="L17" s="20"/>
      <c r="M17" s="20"/>
      <c r="N17" s="20">
        <v>640.5</v>
      </c>
    </row>
    <row r="18" spans="1:14" x14ac:dyDescent="0.3">
      <c r="A18" s="19" t="s">
        <v>29</v>
      </c>
      <c r="B18" s="20"/>
      <c r="C18" s="20"/>
      <c r="D18" s="20">
        <v>5</v>
      </c>
      <c r="E18" s="20">
        <v>50</v>
      </c>
      <c r="F18" s="20"/>
      <c r="G18" s="20"/>
      <c r="H18" s="20">
        <v>800</v>
      </c>
      <c r="I18" s="20">
        <v>400</v>
      </c>
      <c r="J18" s="20"/>
      <c r="K18" s="20"/>
      <c r="L18" s="20">
        <v>400</v>
      </c>
      <c r="M18" s="20">
        <v>2000</v>
      </c>
      <c r="N18" s="20">
        <v>3655</v>
      </c>
    </row>
    <row r="19" spans="1:14" x14ac:dyDescent="0.3">
      <c r="A19" s="19" t="s">
        <v>30</v>
      </c>
      <c r="B19" s="20">
        <v>800</v>
      </c>
      <c r="C19" s="20">
        <v>1950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>
        <v>2750</v>
      </c>
    </row>
    <row r="20" spans="1:14" x14ac:dyDescent="0.3">
      <c r="A20" s="19" t="s">
        <v>26</v>
      </c>
      <c r="B20" s="20">
        <v>4500</v>
      </c>
      <c r="C20" s="20">
        <v>4500</v>
      </c>
      <c r="D20" s="20">
        <v>4500</v>
      </c>
      <c r="E20" s="20">
        <v>4500</v>
      </c>
      <c r="F20" s="20">
        <v>4500</v>
      </c>
      <c r="G20" s="20">
        <v>4500</v>
      </c>
      <c r="H20" s="20">
        <v>4500</v>
      </c>
      <c r="I20" s="20">
        <v>4500</v>
      </c>
      <c r="J20" s="20">
        <v>4500</v>
      </c>
      <c r="K20" s="20">
        <v>4500</v>
      </c>
      <c r="L20" s="20">
        <v>4500</v>
      </c>
      <c r="M20" s="20">
        <v>4500</v>
      </c>
      <c r="N20" s="20">
        <v>54000</v>
      </c>
    </row>
    <row r="21" spans="1:14" x14ac:dyDescent="0.3">
      <c r="A21" s="19" t="s">
        <v>27</v>
      </c>
      <c r="B21" s="20"/>
      <c r="C21" s="20"/>
      <c r="D21" s="20"/>
      <c r="E21" s="20"/>
      <c r="F21" s="20"/>
      <c r="G21" s="20"/>
      <c r="H21" s="20">
        <v>500</v>
      </c>
      <c r="I21" s="20">
        <v>500</v>
      </c>
      <c r="J21" s="20"/>
      <c r="K21" s="20"/>
      <c r="L21" s="20"/>
      <c r="M21" s="20"/>
      <c r="N21" s="20">
        <v>1000</v>
      </c>
    </row>
    <row r="22" spans="1:14" x14ac:dyDescent="0.3">
      <c r="A22" s="18" t="s">
        <v>31</v>
      </c>
      <c r="B22" s="20"/>
      <c r="C22" s="20">
        <v>0</v>
      </c>
      <c r="D22" s="20"/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/>
      <c r="N22" s="20">
        <v>0</v>
      </c>
    </row>
    <row r="23" spans="1:14" x14ac:dyDescent="0.3">
      <c r="A23" s="19" t="s">
        <v>31</v>
      </c>
      <c r="B23" s="20"/>
      <c r="C23" s="20">
        <v>0</v>
      </c>
      <c r="D23" s="20"/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/>
      <c r="N23" s="20">
        <v>0</v>
      </c>
    </row>
    <row r="24" spans="1:14" x14ac:dyDescent="0.3">
      <c r="A24" s="18" t="s">
        <v>54</v>
      </c>
      <c r="B24" s="20">
        <v>845.5</v>
      </c>
      <c r="C24" s="20">
        <v>2464.5</v>
      </c>
      <c r="D24" s="20">
        <v>755.60999999999967</v>
      </c>
      <c r="E24" s="20">
        <v>726.84000000000015</v>
      </c>
      <c r="F24" s="20">
        <v>1290</v>
      </c>
      <c r="G24" s="20">
        <v>1170</v>
      </c>
      <c r="H24" s="20">
        <v>2415</v>
      </c>
      <c r="I24" s="20">
        <v>1410.5</v>
      </c>
      <c r="J24" s="20">
        <v>1751.5</v>
      </c>
      <c r="K24" s="20">
        <v>1670</v>
      </c>
      <c r="L24" s="20">
        <v>1400</v>
      </c>
      <c r="M24" s="20">
        <v>2420</v>
      </c>
      <c r="N24" s="20">
        <v>18319.449999999997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FEBD-5B8A-4425-B9BB-190AFF61EA85}">
  <dimension ref="A1:AA17"/>
  <sheetViews>
    <sheetView workbookViewId="0">
      <selection activeCell="B14" sqref="B14:B16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>
        <v>100</v>
      </c>
      <c r="D2" s="9">
        <f ca="1">SUMIFS(Operations[Amount],Operations[Bank],flow_1[[#This Row],[Bank]],Operations[Product],flow_1[[#This Row],[Product]],Operations[Month],$B$11)</f>
        <v>-35</v>
      </c>
      <c r="E2" s="9">
        <f ca="1">flow_1[[#This Row],[Opening balance]]+flow_1[[#This Row],[Operations]]</f>
        <v>65</v>
      </c>
      <c r="H2" t="s">
        <v>25</v>
      </c>
      <c r="I2" s="9">
        <f ca="1">SUMIFS(Operations[Amount],Operations[Category],incomes_1[[#This Row],[Category]],Operations[Month],$B$11)</f>
        <v>250</v>
      </c>
      <c r="K2" t="s">
        <v>18</v>
      </c>
      <c r="L2" s="9">
        <f ca="1">SUMIFS(Operations[Amount],Operations[Category],balance_1[[#This Row],[Category]],Operations[Month],$B$11)</f>
        <v>-2000</v>
      </c>
    </row>
    <row r="3" spans="1:27" x14ac:dyDescent="0.3">
      <c r="A3" t="s">
        <v>11</v>
      </c>
      <c r="B3" t="s">
        <v>12</v>
      </c>
      <c r="C3" s="9">
        <v>10.5</v>
      </c>
      <c r="D3" s="9">
        <f ca="1">SUMIFS(Operations[Amount],Operations[Bank],flow_1[[#This Row],[Bank]],Operations[Product],flow_1[[#This Row],[Product]],Operations[Month],$B$11)</f>
        <v>255.5</v>
      </c>
      <c r="E3" s="9">
        <f ca="1">flow_1[[#This Row],[Opening balance]]+flow_1[[#This Row],[Operations]]</f>
        <v>266</v>
      </c>
      <c r="H3" t="s">
        <v>28</v>
      </c>
      <c r="I3" s="9">
        <f ca="1">SUMIFS(Operations[Amount],Operations[Category],incomes_1[[#This Row],[Category]],Operations[Month],$B$11)</f>
        <v>105.5</v>
      </c>
      <c r="K3" t="s">
        <v>22</v>
      </c>
      <c r="L3" s="9">
        <f ca="1">SUMIFS(Operations[Amount],Operations[Category],balance_1[[#This Row],[Category]],Operations[Month],$B$11)</f>
        <v>-80</v>
      </c>
    </row>
    <row r="4" spans="1:27" x14ac:dyDescent="0.3">
      <c r="A4" t="s">
        <v>7</v>
      </c>
      <c r="B4" t="s">
        <v>8</v>
      </c>
      <c r="C4" s="9">
        <v>600</v>
      </c>
      <c r="D4" s="9">
        <f ca="1">SUMIFS(Operations[Amount],Operations[Bank],flow_1[[#This Row],[Bank]],Operations[Product],flow_1[[#This Row],[Product]],Operations[Month],$B$11)</f>
        <v>1100</v>
      </c>
      <c r="E4" s="9">
        <f ca="1">flow_1[[#This Row],[Opening balance]]+flow_1[[#This Row],[Operations]]</f>
        <v>1700</v>
      </c>
      <c r="H4" t="s">
        <v>29</v>
      </c>
      <c r="I4" s="9">
        <f ca="1">SUMIFS(Operations[Amount],Operations[Category],incomes_1[[#This Row],[Category]],Operations[Month],$B$11)</f>
        <v>0</v>
      </c>
      <c r="K4" t="s">
        <v>20</v>
      </c>
      <c r="L4" s="9">
        <f ca="1">SUMIFS(Operations[Amount],Operations[Category],balance_1[[#This Row],[Category]],Operations[Month],$B$11)</f>
        <v>-85</v>
      </c>
      <c r="N4" s="11"/>
      <c r="O4" s="12"/>
    </row>
    <row r="5" spans="1:27" x14ac:dyDescent="0.3">
      <c r="A5" t="s">
        <v>7</v>
      </c>
      <c r="B5" t="s">
        <v>9</v>
      </c>
      <c r="C5" s="9">
        <v>0</v>
      </c>
      <c r="D5" s="9">
        <f ca="1">SUMIFS(Operations[Amount],Operations[Bank],flow_1[[#This Row],[Bank]],Operations[Product],flow_1[[#This Row],[Product]],Operations[Month],$B$11)</f>
        <v>-175</v>
      </c>
      <c r="E5" s="9">
        <f ca="1">flow_1[[#This Row],[Opening balance]]+flow_1[[#This Row],[Operations]]</f>
        <v>-175</v>
      </c>
      <c r="H5" t="s">
        <v>38</v>
      </c>
      <c r="I5" s="9">
        <f ca="1">SUMIFS(Operations[Amount],Operations[Category],incomes_1[[#This Row],[Category]],Operations[Month],$B$11)</f>
        <v>0</v>
      </c>
      <c r="K5" t="s">
        <v>17</v>
      </c>
      <c r="L5" s="9">
        <f ca="1">SUMIFS(Operations[Amount],Operations[Category],balance_1[[#This Row],[Category]],Operations[Month],$B$11)</f>
        <v>-1715</v>
      </c>
      <c r="N5" s="13"/>
      <c r="O5" s="14"/>
    </row>
    <row r="6" spans="1:27" x14ac:dyDescent="0.3">
      <c r="A6" t="s">
        <v>7</v>
      </c>
      <c r="B6" t="s">
        <v>10</v>
      </c>
      <c r="C6" s="9">
        <v>2000</v>
      </c>
      <c r="D6" s="9">
        <f ca="1">SUMIFS(Operations[Amount],Operations[Bank],flow_1[[#This Row],[Bank]],Operations[Product],flow_1[[#This Row],[Product]],Operations[Month],$B$11)</f>
        <v>-400</v>
      </c>
      <c r="E6" s="9">
        <f ca="1">flow_1[[#This Row],[Opening balance]]+flow_1[[#This Row],[Operations]]</f>
        <v>1600</v>
      </c>
      <c r="H6" t="s">
        <v>26</v>
      </c>
      <c r="I6" s="9">
        <f ca="1">SUMIFS(Operations[Amount],Operations[Category],incomes_1[[#This Row],[Category]],Operations[Month],$B$11)</f>
        <v>4500</v>
      </c>
      <c r="K6" t="s">
        <v>21</v>
      </c>
      <c r="L6" s="9">
        <f ca="1">SUMIFS(Operations[Amount],Operations[Category],balance_1[[#This Row],[Category]],Operations[Month],$B$11)</f>
        <v>-100</v>
      </c>
    </row>
    <row r="7" spans="1:27" x14ac:dyDescent="0.3">
      <c r="A7" t="s">
        <v>13</v>
      </c>
      <c r="B7" t="s">
        <v>15</v>
      </c>
      <c r="C7" s="9">
        <v>200</v>
      </c>
      <c r="D7" s="9">
        <f ca="1">SUMIFS(Operations[Amount],Operations[Bank],flow_1[[#This Row],[Bank]],Operations[Product],flow_1[[#This Row],[Product]],Operations[Month],$B$11)</f>
        <v>-50</v>
      </c>
      <c r="E7" s="9">
        <f ca="1">flow_1[[#This Row],[Opening balance]]+flow_1[[#This Row],[Operations]]</f>
        <v>150</v>
      </c>
      <c r="H7" t="s">
        <v>27</v>
      </c>
      <c r="I7" s="9">
        <f ca="1">SUMIFS(Operations[Amount],Operations[Category],incomes_1[[#This Row],[Category]],Operations[Month],$B$11)</f>
        <v>0</v>
      </c>
      <c r="K7" t="s">
        <v>19</v>
      </c>
      <c r="L7" s="9">
        <f ca="1">SUMIFS(Operations[Amount],Operations[Category],balance_1[[#This Row],[Category]],Operations[Month],$B$11)</f>
        <v>-150</v>
      </c>
    </row>
    <row r="8" spans="1:27" x14ac:dyDescent="0.3">
      <c r="A8" t="s">
        <v>13</v>
      </c>
      <c r="B8" t="s">
        <v>14</v>
      </c>
      <c r="C8" s="9">
        <v>30</v>
      </c>
      <c r="D8" s="9">
        <f ca="1">SUMIFS(Operations[Amount],Operations[Bank],flow_1[[#This Row],[Bank]],Operations[Product],flow_1[[#This Row],[Product]],Operations[Month],$B$11)</f>
        <v>150</v>
      </c>
      <c r="E8" s="9">
        <f ca="1">flow_1[[#This Row],[Opening balance]]+flow_1[[#This Row],[Operations]]</f>
        <v>180</v>
      </c>
      <c r="H8" t="s">
        <v>36</v>
      </c>
      <c r="I8" s="9">
        <f ca="1">SUBTOTAL(109,incomes_1[Total])</f>
        <v>4855.5</v>
      </c>
      <c r="K8" t="s">
        <v>24</v>
      </c>
      <c r="L8" s="9">
        <f ca="1">SUMIFS(Operations[Amount],Operations[Category],balance_1[[#This Row],[Category]],Operations[Month],$B$11)</f>
        <v>-500</v>
      </c>
    </row>
    <row r="9" spans="1:27" x14ac:dyDescent="0.3">
      <c r="A9" t="s">
        <v>36</v>
      </c>
      <c r="C9" s="9">
        <f>SUBTOTAL(109,flow_1[Opening balance])</f>
        <v>2940.5</v>
      </c>
      <c r="D9" s="9">
        <f ca="1">SUBTOTAL(109,flow_1[Operations])</f>
        <v>845.5</v>
      </c>
      <c r="E9" s="9">
        <f ca="1">SUBTOTAL(109,flow_1[Closing balance])</f>
        <v>3786</v>
      </c>
      <c r="K9" t="s">
        <v>23</v>
      </c>
      <c r="L9" s="9">
        <f ca="1">SUMIFS(Operations[Amount],Operations[Category],balance_1[[#This Row],[Category]],Operations[Month],$B$11)</f>
        <v>-100</v>
      </c>
    </row>
    <row r="10" spans="1:27" x14ac:dyDescent="0.3">
      <c r="K10" t="s">
        <v>16</v>
      </c>
      <c r="L10" s="9">
        <f ca="1">SUMIFS(Operations[Amount],Operations[Category],balance_1[[#This Row],[Category]],Operations[Month],$B$11)</f>
        <v>-80</v>
      </c>
    </row>
    <row r="11" spans="1:27" x14ac:dyDescent="0.3">
      <c r="A11" s="8" t="s">
        <v>6</v>
      </c>
      <c r="B11" s="10" t="str" cm="1">
        <f t="array" aca="1" ref="B11" ca="1">_xlfn.TEXTAFTER(CELL("filename",A1),"]")</f>
        <v>1</v>
      </c>
      <c r="K11" t="s">
        <v>36</v>
      </c>
      <c r="L11" s="9">
        <f ca="1">SUBTOTAL(109,balance_1[Total])</f>
        <v>-4810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SUMIFS(Operations[Amount],Operations[Type],expenses_1[[#This Row],[Type]],Operations[Month],$B$11)</f>
        <v>-4810</v>
      </c>
    </row>
    <row r="15" spans="1:27" x14ac:dyDescent="0.3">
      <c r="A15" t="s">
        <v>33</v>
      </c>
      <c r="B15" s="9">
        <f ca="1">SUMIFS(Operations[Amount],Operations[Type],expenses_1[[#This Row],[Type]],Operations[Month],$B$11)</f>
        <v>5655.5</v>
      </c>
    </row>
    <row r="16" spans="1:27" x14ac:dyDescent="0.3">
      <c r="A16" t="s">
        <v>31</v>
      </c>
      <c r="B16" s="9">
        <f ca="1">SUMIFS(Operations[Amount],Operations[Type],expenses_1[[#This Row],[Type]],Operations[Month],$B$11)</f>
        <v>0</v>
      </c>
    </row>
    <row r="17" spans="1:2" x14ac:dyDescent="0.3">
      <c r="A17" t="s">
        <v>36</v>
      </c>
      <c r="B17" s="9">
        <f ca="1">SUBTOTAL(109,expenses_1[Total])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6103-4196-4ABC-923C-419691FE1637}">
  <dimension ref="A1:AA17"/>
  <sheetViews>
    <sheetView workbookViewId="0">
      <selection activeCell="C2" sqref="C2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65</v>
      </c>
      <c r="D2" s="9">
        <f ca="1">SUMIFS(Operations[Amount],Operations[Bank],flow_2[[#This Row],[Bank]],Operations[Product],flow_2[[#This Row],[Product]],Operations[Month],$B$11)</f>
        <v>35</v>
      </c>
      <c r="E2" s="9">
        <f ca="1">flow_2[[#This Row],[Opening balance]]+flow_2[[#This Row],[Operations]]</f>
        <v>100</v>
      </c>
      <c r="H2" t="s">
        <v>25</v>
      </c>
      <c r="I2" s="9">
        <f ca="1">SUMIFS(Operations[Amount],Operations[Category],incomes_2[[#This Row],[Category]],Operations[Month],$B$11)</f>
        <v>0</v>
      </c>
      <c r="K2" t="s">
        <v>18</v>
      </c>
      <c r="L2" s="9">
        <f ca="1">SUMIFS(Operations[Amount],Operations[Category],balance_2[[#This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266</v>
      </c>
      <c r="D3" s="9">
        <f ca="1">SUMIFS(Operations[Amount],Operations[Bank],flow_2[[#This Row],[Bank]],Operations[Product],flow_2[[#This Row],[Product]],Operations[Month],$B$11)</f>
        <v>15</v>
      </c>
      <c r="E3" s="9">
        <f ca="1">flow_2[[#This Row],[Opening balance]]+flow_2[[#This Row],[Operations]]</f>
        <v>281</v>
      </c>
      <c r="H3" t="s">
        <v>28</v>
      </c>
      <c r="I3" s="9">
        <f ca="1">SUMIFS(Operations[Amount],Operations[Category],incomes_2[[#This Row],[Category]],Operations[Month],$B$11)</f>
        <v>115</v>
      </c>
      <c r="K3" t="s">
        <v>22</v>
      </c>
      <c r="L3" s="9">
        <f ca="1">SUMIFS(Operations[Amount],Operations[Category],balance_2[[#This Row],[Category]],Operations[Month],$B$11)</f>
        <v>0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1700</v>
      </c>
      <c r="D4" s="9">
        <f ca="1">SUMIFS(Operations[Amount],Operations[Bank],flow_2[[#This Row],[Bank]],Operations[Product],flow_2[[#This Row],[Product]],Operations[Month],$B$11)</f>
        <v>2039.5</v>
      </c>
      <c r="E4" s="9">
        <f ca="1">flow_2[[#This Row],[Opening balance]]+flow_2[[#This Row],[Operations]]</f>
        <v>3739.5</v>
      </c>
      <c r="H4" t="s">
        <v>29</v>
      </c>
      <c r="I4" s="9">
        <f ca="1">SUMIFS(Operations[Amount],Operations[Category],incomes_2[[#This Row],[Category]],Operations[Month],$B$11)</f>
        <v>0</v>
      </c>
      <c r="K4" t="s">
        <v>20</v>
      </c>
      <c r="L4" s="9">
        <f ca="1">SUMIFS(Operations[Amount],Operations[Category],balance_2[[#This Row],[Category]],Operations[Month],$B$11)</f>
        <v>-350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-175</v>
      </c>
      <c r="D5" s="9">
        <f ca="1">SUMIFS(Operations[Amount],Operations[Bank],flow_2[[#This Row],[Bank]],Operations[Product],flow_2[[#This Row],[Product]],Operations[Month],$B$11)</f>
        <v>175</v>
      </c>
      <c r="E5" s="9">
        <f ca="1">flow_2[[#This Row],[Opening balance]]+flow_2[[#This Row],[Operations]]</f>
        <v>0</v>
      </c>
      <c r="H5" t="s">
        <v>38</v>
      </c>
      <c r="I5" s="9">
        <f ca="1">SUMIFS(Operations[Amount],Operations[Category],incomes_2[[#This Row],[Category]],Operations[Month],$B$11)</f>
        <v>0</v>
      </c>
      <c r="K5" t="s">
        <v>17</v>
      </c>
      <c r="L5" s="9">
        <f ca="1">SUMIFS(Operations[Amount],Operations[Category],balance_2[[#This Row],[Category]],Operations[Month],$B$11)</f>
        <v>-405.5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1600</v>
      </c>
      <c r="D6" s="9">
        <f ca="1">SUMIFS(Operations[Amount],Operations[Bank],flow_2[[#This Row],[Bank]],Operations[Product],flow_2[[#This Row],[Product]],Operations[Month],$B$11)</f>
        <v>-400</v>
      </c>
      <c r="E6" s="9">
        <f ca="1">flow_2[[#This Row],[Opening balance]]+flow_2[[#This Row],[Operations]]</f>
        <v>1200</v>
      </c>
      <c r="H6" t="s">
        <v>26</v>
      </c>
      <c r="I6" s="9">
        <f ca="1">SUMIFS(Operations[Amount],Operations[Category],incomes_2[[#This Row],[Category]],Operations[Month],$B$11)</f>
        <v>4500</v>
      </c>
      <c r="K6" t="s">
        <v>21</v>
      </c>
      <c r="L6" s="9">
        <f ca="1">SUMIFS(Operations[Amount],Operations[Category],balance_2[[#This Row],[Category]],Operations[Month],$B$11)</f>
        <v>-250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150</v>
      </c>
      <c r="D7" s="9">
        <f ca="1">SUMIFS(Operations[Amount],Operations[Bank],flow_2[[#This Row],[Bank]],Operations[Product],flow_2[[#This Row],[Product]],Operations[Month],$B$11)</f>
        <v>100</v>
      </c>
      <c r="E7" s="9">
        <f ca="1">flow_2[[#This Row],[Opening balance]]+flow_2[[#This Row],[Operations]]</f>
        <v>250</v>
      </c>
      <c r="H7" t="s">
        <v>27</v>
      </c>
      <c r="I7" s="9">
        <f ca="1">SUMIFS(Operations[Amount],Operations[Category],incomes_2[[#This Row],[Category]],Operations[Month],$B$11)</f>
        <v>0</v>
      </c>
      <c r="K7" t="s">
        <v>19</v>
      </c>
      <c r="L7" s="9">
        <f ca="1">SUMIFS(Operations[Amount],Operations[Category],balance_2[[#This Row],[Category]],Operations[Month],$B$11)</f>
        <v>-150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180</v>
      </c>
      <c r="D8" s="9">
        <f ca="1">SUMIFS(Operations[Amount],Operations[Bank],flow_2[[#This Row],[Bank]],Operations[Product],flow_2[[#This Row],[Product]],Operations[Month],$B$11)</f>
        <v>500</v>
      </c>
      <c r="E8" s="9">
        <f ca="1">flow_2[[#This Row],[Opening balance]]+flow_2[[#This Row],[Operations]]</f>
        <v>680</v>
      </c>
      <c r="H8" t="s">
        <v>36</v>
      </c>
      <c r="I8" s="9">
        <f ca="1">SUBTOTAL(109,incomes_2[Total])</f>
        <v>4615</v>
      </c>
      <c r="K8" t="s">
        <v>24</v>
      </c>
      <c r="L8" s="9">
        <f ca="1">SUMIFS(Operations[Amount],Operations[Category],balance_2[[#This Row],[Category]],Operations[Month],$B$11)</f>
        <v>-765</v>
      </c>
    </row>
    <row r="9" spans="1:27" x14ac:dyDescent="0.3">
      <c r="A9" t="s">
        <v>36</v>
      </c>
      <c r="C9" s="9">
        <f ca="1">SUBTOTAL(109,flow_2[Opening balance])</f>
        <v>3786</v>
      </c>
      <c r="D9" s="9">
        <f ca="1">SUBTOTAL(109,flow_2[Operations])</f>
        <v>2464.5</v>
      </c>
      <c r="E9" s="9">
        <f ca="1">SUBTOTAL(109,flow_2[Closing balance])</f>
        <v>6250.5</v>
      </c>
      <c r="K9" t="s">
        <v>23</v>
      </c>
      <c r="L9" s="9">
        <f ca="1">SUMIFS(Operations[Amount],Operations[Category],balance_2[[#This Row],[Category]],Operations[Month],$B$11)</f>
        <v>-100</v>
      </c>
    </row>
    <row r="10" spans="1:27" x14ac:dyDescent="0.3">
      <c r="K10" t="s">
        <v>16</v>
      </c>
      <c r="L10" s="9">
        <f ca="1">SUMIFS(Operations[Amount],Operations[Category],balance_2[[#This Row],[Category]],Operations[Month],$B$11)</f>
        <v>-80</v>
      </c>
    </row>
    <row r="11" spans="1:27" x14ac:dyDescent="0.3">
      <c r="A11" s="8" t="s">
        <v>6</v>
      </c>
      <c r="B11" s="10" t="str" cm="1">
        <f t="array" aca="1" ref="B11" ca="1">_xlfn.TEXTAFTER(CELL("filename",A1),"]")</f>
        <v>2</v>
      </c>
      <c r="K11" t="s">
        <v>36</v>
      </c>
      <c r="L11" s="9">
        <f ca="1">SUBTOTAL(109,balance_2[Total])</f>
        <v>-4100.5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SUMIFS(Operations[Amount],Operations[Type],expenses_2[[#This Row],[Type]],Operations[Month],$B$11)</f>
        <v>-4100.5</v>
      </c>
    </row>
    <row r="15" spans="1:27" x14ac:dyDescent="0.3">
      <c r="A15" t="s">
        <v>33</v>
      </c>
      <c r="B15" s="9">
        <f ca="1">SUMIFS(Operations[Amount],Operations[Type],expenses_2[[#This Row],[Type]],Operations[Month],$B$11)</f>
        <v>6565</v>
      </c>
    </row>
    <row r="16" spans="1:27" x14ac:dyDescent="0.3">
      <c r="A16" t="s">
        <v>31</v>
      </c>
      <c r="B16" s="9">
        <f ca="1">SUMIFS(Operations[Amount],Operations[Type],expenses_2[[#This Row],[Type]],Operations[Month],$B$11)</f>
        <v>0</v>
      </c>
    </row>
    <row r="17" spans="1:2" x14ac:dyDescent="0.3">
      <c r="A17" t="s">
        <v>36</v>
      </c>
      <c r="B17" s="9">
        <f ca="1">SUBTOTAL(109,expenses_2[Total])</f>
        <v>2464.5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9574-D7ED-482C-AE4D-401E7497AB4B}">
  <dimension ref="A1:AA17"/>
  <sheetViews>
    <sheetView workbookViewId="0">
      <selection activeCell="C2" sqref="C2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100</v>
      </c>
      <c r="D2" s="9">
        <f ca="1">SUMIFS(Operations[Amount],Operations[Bank],flow_3[[#This Row],[Bank]],Operations[Product],flow_3[[#This Row],[Product]],Operations[Month],$B$11)</f>
        <v>67.5</v>
      </c>
      <c r="E2" s="9">
        <f ca="1">flow_3[[#This Row],[Opening balance]]+flow_3[[#This Row],[Operations]]</f>
        <v>167.5</v>
      </c>
      <c r="H2" t="s">
        <v>25</v>
      </c>
      <c r="I2" s="9">
        <f ca="1">SUMIFS(Operations[Amount],Operations[Category],incomes_3[[#This Row],[Category]],Operations[Month],$B$11)</f>
        <v>0</v>
      </c>
      <c r="K2" t="s">
        <v>18</v>
      </c>
      <c r="L2" s="9">
        <f ca="1">SUMIFS(Operations[Amount],Operations[Category],balance_3[[#This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281</v>
      </c>
      <c r="D3" s="9">
        <f ca="1">SUMIFS(Operations[Amount],Operations[Bank],flow_3[[#This Row],[Bank]],Operations[Product],flow_3[[#This Row],[Product]],Operations[Month],$B$11)</f>
        <v>5</v>
      </c>
      <c r="E3" s="9">
        <f ca="1">flow_3[[#This Row],[Opening balance]]+flow_3[[#This Row],[Operations]]</f>
        <v>286</v>
      </c>
      <c r="H3" t="s">
        <v>28</v>
      </c>
      <c r="I3" s="9">
        <f ca="1">SUMIFS(Operations[Amount],Operations[Category],incomes_3[[#This Row],[Category]],Operations[Month],$B$11)</f>
        <v>150</v>
      </c>
      <c r="K3" t="s">
        <v>22</v>
      </c>
      <c r="L3" s="9">
        <f ca="1">SUMIFS(Operations[Amount],Operations[Category],balance_3[[#This Row],[Category]],Operations[Month],$B$11)</f>
        <v>-469.9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3739.5</v>
      </c>
      <c r="D4" s="9">
        <f ca="1">SUMIFS(Operations[Amount],Operations[Bank],flow_3[[#This Row],[Bank]],Operations[Product],flow_3[[#This Row],[Product]],Operations[Month],$B$11)</f>
        <v>821.59999999999991</v>
      </c>
      <c r="E4" s="9">
        <f ca="1">flow_3[[#This Row],[Opening balance]]+flow_3[[#This Row],[Operations]]</f>
        <v>4561.1000000000004</v>
      </c>
      <c r="H4" t="s">
        <v>29</v>
      </c>
      <c r="I4" s="9">
        <f ca="1">SUMIFS(Operations[Amount],Operations[Category],incomes_3[[#This Row],[Category]],Operations[Month],$B$11)</f>
        <v>5</v>
      </c>
      <c r="K4" t="s">
        <v>20</v>
      </c>
      <c r="L4" s="9">
        <f ca="1">SUMIFS(Operations[Amount],Operations[Category],balance_3[[#This Row],[Category]],Operations[Month],$B$11)</f>
        <v>-200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0</v>
      </c>
      <c r="D5" s="9">
        <f ca="1">SUMIFS(Operations[Amount],Operations[Bank],flow_3[[#This Row],[Bank]],Operations[Product],flow_3[[#This Row],[Product]],Operations[Month],$B$11)</f>
        <v>-104.5</v>
      </c>
      <c r="E5" s="9">
        <f ca="1">flow_3[[#This Row],[Opening balance]]+flow_3[[#This Row],[Operations]]</f>
        <v>-104.5</v>
      </c>
      <c r="H5" t="s">
        <v>38</v>
      </c>
      <c r="I5" s="9">
        <f ca="1">SUMIFS(Operations[Amount],Operations[Category],incomes_3[[#This Row],[Category]],Operations[Month],$B$11)</f>
        <v>0</v>
      </c>
      <c r="K5" t="s">
        <v>17</v>
      </c>
      <c r="L5" s="9">
        <f ca="1">SUMIFS(Operations[Amount],Operations[Category],balance_3[[#This Row],[Category]],Operations[Month],$B$11)</f>
        <v>-734.99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1200</v>
      </c>
      <c r="D6" s="9">
        <f ca="1">SUMIFS(Operations[Amount],Operations[Bank],flow_3[[#This Row],[Bank]],Operations[Product],flow_3[[#This Row],[Product]],Operations[Month],$B$11)</f>
        <v>0</v>
      </c>
      <c r="E6" s="9">
        <f ca="1">flow_3[[#This Row],[Opening balance]]+flow_3[[#This Row],[Operations]]</f>
        <v>1200</v>
      </c>
      <c r="H6" t="s">
        <v>26</v>
      </c>
      <c r="I6" s="9">
        <f ca="1">SUMIFS(Operations[Amount],Operations[Category],incomes_3[[#This Row],[Category]],Operations[Month],$B$11)</f>
        <v>4500</v>
      </c>
      <c r="K6" t="s">
        <v>21</v>
      </c>
      <c r="L6" s="9">
        <f ca="1">SUMIFS(Operations[Amount],Operations[Category],balance_3[[#This Row],[Category]],Operations[Month],$B$11)</f>
        <v>-9.5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250</v>
      </c>
      <c r="D7" s="9">
        <f ca="1">SUMIFS(Operations[Amount],Operations[Bank],flow_3[[#This Row],[Bank]],Operations[Product],flow_3[[#This Row],[Product]],Operations[Month],$B$11)</f>
        <v>-24.49</v>
      </c>
      <c r="E7" s="9">
        <f ca="1">flow_3[[#This Row],[Opening balance]]+flow_3[[#This Row],[Operations]]</f>
        <v>225.51</v>
      </c>
      <c r="H7" t="s">
        <v>27</v>
      </c>
      <c r="I7" s="9">
        <f ca="1">SUMIFS(Operations[Amount],Operations[Category],incomes_3[[#This Row],[Category]],Operations[Month],$B$11)</f>
        <v>0</v>
      </c>
      <c r="K7" t="s">
        <v>19</v>
      </c>
      <c r="L7" s="9">
        <f ca="1">SUMIFS(Operations[Amount],Operations[Category],balance_3[[#This Row],[Category]],Operations[Month],$B$11)</f>
        <v>-23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680</v>
      </c>
      <c r="D8" s="9">
        <f ca="1">SUMIFS(Operations[Amount],Operations[Bank],flow_3[[#This Row],[Bank]],Operations[Product],flow_3[[#This Row],[Product]],Operations[Month],$B$11)</f>
        <v>-9.5</v>
      </c>
      <c r="E8" s="9">
        <f ca="1">flow_3[[#This Row],[Opening balance]]+flow_3[[#This Row],[Operations]]</f>
        <v>670.5</v>
      </c>
      <c r="H8" t="s">
        <v>36</v>
      </c>
      <c r="I8" s="9">
        <f ca="1">SUBTOTAL(109,incomes_3[Total])</f>
        <v>4655</v>
      </c>
      <c r="K8" t="s">
        <v>24</v>
      </c>
      <c r="L8" s="9">
        <f ca="1">SUMIFS(Operations[Amount],Operations[Category],balance_3[[#This Row],[Category]],Operations[Month],$B$11)</f>
        <v>-300</v>
      </c>
    </row>
    <row r="9" spans="1:27" x14ac:dyDescent="0.3">
      <c r="A9" t="s">
        <v>36</v>
      </c>
      <c r="C9" s="9">
        <f ca="1">SUBTOTAL(109,flow_3[Opening balance])</f>
        <v>6250.5</v>
      </c>
      <c r="D9" s="9">
        <f ca="1">SUBTOTAL(109,flow_3[Operations])</f>
        <v>755.6099999999999</v>
      </c>
      <c r="E9" s="9">
        <f ca="1">SUBTOTAL(109,flow_3[Closing balance])</f>
        <v>7006.1100000000006</v>
      </c>
      <c r="K9" t="s">
        <v>23</v>
      </c>
      <c r="L9" s="9">
        <f ca="1">SUMIFS(Operations[Amount],Operations[Category],balance_3[[#This Row],[Category]],Operations[Month],$B$11)</f>
        <v>-79.5</v>
      </c>
    </row>
    <row r="10" spans="1:27" x14ac:dyDescent="0.3">
      <c r="K10" t="s">
        <v>16</v>
      </c>
      <c r="L10" s="9">
        <f ca="1">SUMIFS(Operations[Amount],Operations[Category],balance_3[[#This Row],[Category]],Operations[Month],$B$11)</f>
        <v>-82.5</v>
      </c>
    </row>
    <row r="11" spans="1:27" x14ac:dyDescent="0.3">
      <c r="A11" s="8" t="s">
        <v>6</v>
      </c>
      <c r="B11" s="10" t="str" cm="1">
        <f t="array" aca="1" ref="B11" ca="1">_xlfn.TEXTAFTER(CELL("filename",A1),"]")</f>
        <v>3</v>
      </c>
      <c r="K11" t="s">
        <v>36</v>
      </c>
      <c r="L11" s="9">
        <f ca="1">SUBTOTAL(109,balance_3[Total])</f>
        <v>-3899.3900000000003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SUMIFS(Operations[Amount],Operations[Type],expenses_3[[#This Row],[Type]],Operations[Month],$B$11)</f>
        <v>-3899.39</v>
      </c>
    </row>
    <row r="15" spans="1:27" x14ac:dyDescent="0.3">
      <c r="A15" t="s">
        <v>33</v>
      </c>
      <c r="B15" s="9">
        <f ca="1">SUMIFS(Operations[Amount],Operations[Type],expenses_3[[#This Row],[Type]],Operations[Month],$B$11)</f>
        <v>4655</v>
      </c>
    </row>
    <row r="16" spans="1:27" x14ac:dyDescent="0.3">
      <c r="A16" t="s">
        <v>31</v>
      </c>
      <c r="B16" s="9">
        <f ca="1">SUMIFS(Operations[Amount],Operations[Type],expenses_3[[#This Row],[Type]],Operations[Month],$B$11)</f>
        <v>0</v>
      </c>
    </row>
    <row r="17" spans="1:2" x14ac:dyDescent="0.3">
      <c r="A17" t="s">
        <v>36</v>
      </c>
      <c r="B17" s="9">
        <f ca="1">SUBTOTAL(109,expenses_3[Total])</f>
        <v>755.61000000000013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BD3A-A1BD-43E9-BAB0-7C5739952380}">
  <dimension ref="A1:AA17"/>
  <sheetViews>
    <sheetView workbookViewId="0">
      <selection activeCell="C2" sqref="C2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167.5</v>
      </c>
      <c r="D2" s="9">
        <f ca="1">SUMIFS(Operations[Amount],Operations[Bank],flow_4[[#This Row],[Bank]],Operations[Product],flow_4[[#This Row],[Product]],Operations[Month],$B$11)</f>
        <v>101</v>
      </c>
      <c r="E2" s="9">
        <f ca="1">flow_4[[#This Row],[Opening balance]]+flow_4[[#This Row],[Operations]]</f>
        <v>268.5</v>
      </c>
      <c r="H2" t="s">
        <v>25</v>
      </c>
      <c r="I2" s="9">
        <f ca="1">SUMIFS(Operations[Amount],Operations[Category],incomes_4[[#This Row],[Category]],Operations[Month],$B$11)</f>
        <v>0</v>
      </c>
      <c r="K2" t="s">
        <v>18</v>
      </c>
      <c r="L2" s="9">
        <f ca="1">SUMIFS(Operations[Amount],Operations[Category],balance_4[[#This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286</v>
      </c>
      <c r="D3" s="9">
        <f ca="1">SUMIFS(Operations[Amount],Operations[Bank],flow_4[[#This Row],[Bank]],Operations[Product],flow_4[[#This Row],[Product]],Operations[Month],$B$11)</f>
        <v>50</v>
      </c>
      <c r="E3" s="9">
        <f ca="1">flow_4[[#This Row],[Opening balance]]+flow_4[[#This Row],[Operations]]</f>
        <v>336</v>
      </c>
      <c r="H3" t="s">
        <v>28</v>
      </c>
      <c r="I3" s="9">
        <f ca="1">SUMIFS(Operations[Amount],Operations[Category],incomes_4[[#This Row],[Category]],Operations[Month],$B$11)</f>
        <v>150</v>
      </c>
      <c r="K3" t="s">
        <v>22</v>
      </c>
      <c r="L3" s="9">
        <f ca="1">SUMIFS(Operations[Amount],Operations[Category],balance_4[[#This Row],[Category]],Operations[Month],$B$11)</f>
        <v>-149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4561.1000000000004</v>
      </c>
      <c r="D4" s="9">
        <f ca="1">SUMIFS(Operations[Amount],Operations[Bank],flow_4[[#This Row],[Bank]],Operations[Product],flow_4[[#This Row],[Product]],Operations[Month],$B$11)</f>
        <v>562.72999999999968</v>
      </c>
      <c r="E4" s="9">
        <f ca="1">flow_4[[#This Row],[Opening balance]]+flow_4[[#This Row],[Operations]]</f>
        <v>5123.83</v>
      </c>
      <c r="H4" t="s">
        <v>29</v>
      </c>
      <c r="I4" s="9">
        <f ca="1">SUMIFS(Operations[Amount],Operations[Category],incomes_4[[#This Row],[Category]],Operations[Month],$B$11)</f>
        <v>50</v>
      </c>
      <c r="K4" t="s">
        <v>20</v>
      </c>
      <c r="L4" s="9">
        <f ca="1">SUMIFS(Operations[Amount],Operations[Category],balance_4[[#This Row],[Category]],Operations[Month],$B$11)</f>
        <v>-1057.9000000000001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-104.5</v>
      </c>
      <c r="D5" s="9">
        <f ca="1">SUMIFS(Operations[Amount],Operations[Bank],flow_4[[#This Row],[Bank]],Operations[Product],flow_4[[#This Row],[Product]],Operations[Month],$B$11)</f>
        <v>13.110000000000007</v>
      </c>
      <c r="E5" s="9">
        <f ca="1">flow_4[[#This Row],[Opening balance]]+flow_4[[#This Row],[Operations]]</f>
        <v>-91.389999999999986</v>
      </c>
      <c r="H5" t="s">
        <v>38</v>
      </c>
      <c r="I5" s="9">
        <f ca="1">SUMIFS(Operations[Amount],Operations[Category],incomes_4[[#This Row],[Category]],Operations[Month],$B$11)</f>
        <v>0</v>
      </c>
      <c r="K5" t="s">
        <v>17</v>
      </c>
      <c r="L5" s="9">
        <f ca="1">SUMIFS(Operations[Amount],Operations[Category],balance_4[[#This Row],[Category]],Operations[Month],$B$11)</f>
        <v>-372.26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1200</v>
      </c>
      <c r="D6" s="9">
        <f ca="1">SUMIFS(Operations[Amount],Operations[Bank],flow_4[[#This Row],[Bank]],Operations[Product],flow_4[[#This Row],[Product]],Operations[Month],$B$11)</f>
        <v>0</v>
      </c>
      <c r="E6" s="9">
        <f ca="1">flow_4[[#This Row],[Opening balance]]+flow_4[[#This Row],[Operations]]</f>
        <v>1200</v>
      </c>
      <c r="H6" t="s">
        <v>26</v>
      </c>
      <c r="I6" s="9">
        <f ca="1">SUMIFS(Operations[Amount],Operations[Category],incomes_4[[#This Row],[Category]],Operations[Month],$B$11)</f>
        <v>4500</v>
      </c>
      <c r="K6" t="s">
        <v>21</v>
      </c>
      <c r="L6" s="9">
        <f ca="1">SUMIFS(Operations[Amount],Operations[Category],balance_4[[#This Row],[Category]],Operations[Month],$B$11)</f>
        <v>-23.5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225.51</v>
      </c>
      <c r="D7" s="9">
        <f ca="1">SUMIFS(Operations[Amount],Operations[Bank],flow_4[[#This Row],[Bank]],Operations[Product],flow_4[[#This Row],[Product]],Operations[Month],$B$11)</f>
        <v>0</v>
      </c>
      <c r="E7" s="9">
        <f ca="1">flow_4[[#This Row],[Opening balance]]+flow_4[[#This Row],[Operations]]</f>
        <v>225.51</v>
      </c>
      <c r="H7" t="s">
        <v>27</v>
      </c>
      <c r="I7" s="9">
        <f ca="1">SUMIFS(Operations[Amount],Operations[Category],incomes_4[[#This Row],[Category]],Operations[Month],$B$11)</f>
        <v>0</v>
      </c>
      <c r="K7" t="s">
        <v>19</v>
      </c>
      <c r="L7" s="9">
        <f ca="1">SUMIFS(Operations[Amount],Operations[Category],balance_4[[#This Row],[Category]],Operations[Month],$B$11)</f>
        <v>-49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670.5</v>
      </c>
      <c r="D8" s="9">
        <f ca="1">SUMIFS(Operations[Amount],Operations[Bank],flow_4[[#This Row],[Bank]],Operations[Product],flow_4[[#This Row],[Product]],Operations[Month],$B$11)</f>
        <v>0</v>
      </c>
      <c r="E8" s="9">
        <f ca="1">flow_4[[#This Row],[Opening balance]]+flow_4[[#This Row],[Operations]]</f>
        <v>670.5</v>
      </c>
      <c r="H8" t="s">
        <v>36</v>
      </c>
      <c r="I8" s="9">
        <f ca="1">SUBTOTAL(109,incomes_4[Total])</f>
        <v>4700</v>
      </c>
      <c r="K8" t="s">
        <v>24</v>
      </c>
      <c r="L8" s="9">
        <f ca="1">SUMIFS(Operations[Amount],Operations[Category],balance_4[[#This Row],[Category]],Operations[Month],$B$11)</f>
        <v>-100</v>
      </c>
    </row>
    <row r="9" spans="1:27" x14ac:dyDescent="0.3">
      <c r="A9" t="s">
        <v>36</v>
      </c>
      <c r="C9" s="9">
        <f ca="1">SUBTOTAL(109,flow_4[Opening balance])</f>
        <v>7006.1100000000006</v>
      </c>
      <c r="D9" s="9">
        <f ca="1">SUBTOTAL(109,flow_4[Operations])</f>
        <v>726.83999999999969</v>
      </c>
      <c r="E9" s="9">
        <f ca="1">SUBTOTAL(109,flow_4[Closing balance])</f>
        <v>7732.95</v>
      </c>
      <c r="K9" t="s">
        <v>23</v>
      </c>
      <c r="L9" s="9">
        <f ca="1">SUMIFS(Operations[Amount],Operations[Category],balance_4[[#This Row],[Category]],Operations[Month],$B$11)</f>
        <v>-139</v>
      </c>
    </row>
    <row r="10" spans="1:27" x14ac:dyDescent="0.3">
      <c r="K10" t="s">
        <v>16</v>
      </c>
      <c r="L10" s="9">
        <f ca="1">SUMIFS(Operations[Amount],Operations[Category],balance_4[[#This Row],[Category]],Operations[Month],$B$11)</f>
        <v>-82.5</v>
      </c>
    </row>
    <row r="11" spans="1:27" x14ac:dyDescent="0.3">
      <c r="A11" s="8" t="s">
        <v>6</v>
      </c>
      <c r="B11" s="10" t="str" cm="1">
        <f t="array" aca="1" ref="B11" ca="1">_xlfn.TEXTAFTER(CELL("filename",A1),"]")</f>
        <v>4</v>
      </c>
      <c r="K11" t="s">
        <v>36</v>
      </c>
      <c r="L11" s="9">
        <f ca="1">SUBTOTAL(109,balance_4[Total])</f>
        <v>-3973.16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SUMIFS(Operations[Amount],Operations[Type],expenses_4[[#This Row],[Type]],Operations[Month],$B$11)</f>
        <v>-3973.16</v>
      </c>
    </row>
    <row r="15" spans="1:27" x14ac:dyDescent="0.3">
      <c r="A15" t="s">
        <v>33</v>
      </c>
      <c r="B15" s="9">
        <f ca="1">SUMIFS(Operations[Amount],Operations[Type],expenses_4[[#This Row],[Type]],Operations[Month],$B$11)</f>
        <v>4700</v>
      </c>
    </row>
    <row r="16" spans="1:27" x14ac:dyDescent="0.3">
      <c r="A16" t="s">
        <v>31</v>
      </c>
      <c r="B16" s="9">
        <f ca="1">SUMIFS(Operations[Amount],Operations[Type],expenses_4[[#This Row],[Type]],Operations[Month],$B$11)</f>
        <v>0</v>
      </c>
    </row>
    <row r="17" spans="1:2" x14ac:dyDescent="0.3">
      <c r="A17" t="s">
        <v>36</v>
      </c>
      <c r="B17" s="9">
        <f ca="1">SUBTOTAL(109,expenses_4[Total])</f>
        <v>726.84000000000015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D81E-3A59-4666-881E-AB9082540C6D}">
  <dimension ref="A1:AA17"/>
  <sheetViews>
    <sheetView workbookViewId="0">
      <selection activeCell="C2" sqref="C2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268.5</v>
      </c>
      <c r="D2" s="9">
        <f ca="1">SUMIFS(Operations[Amount],Operations[Bank],flow_5[[#This Row],[Bank]],Operations[Product],flow_5[[#This Row],[Product]],Operations[Month],$B$11)</f>
        <v>-50</v>
      </c>
      <c r="E2" s="9">
        <f ca="1">flow_5[[#This Row],[Opening balance]]+flow_5[[#This Row],[Operations]]</f>
        <v>218.5</v>
      </c>
      <c r="H2" t="s">
        <v>25</v>
      </c>
      <c r="I2" s="9">
        <f ca="1">SUMIFS(Operations[Amount],Operations[Category],incomes_5[[#This Row],[Category]],Operations[Month],$B$11)</f>
        <v>0</v>
      </c>
      <c r="K2" t="s">
        <v>18</v>
      </c>
      <c r="L2" s="9">
        <f ca="1">SUMIFS(Operations[Amount],Operations[Category],balance_5[[#This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336</v>
      </c>
      <c r="D3" s="9">
        <f ca="1">SUMIFS(Operations[Amount],Operations[Bank],flow_5[[#This Row],[Bank]],Operations[Product],flow_5[[#This Row],[Product]],Operations[Month],$B$11)</f>
        <v>0</v>
      </c>
      <c r="E3" s="9">
        <f ca="1">flow_5[[#This Row],[Opening balance]]+flow_5[[#This Row],[Operations]]</f>
        <v>336</v>
      </c>
      <c r="H3" t="s">
        <v>28</v>
      </c>
      <c r="I3" s="9">
        <f ca="1">SUMIFS(Operations[Amount],Operations[Category],incomes_5[[#This Row],[Category]],Operations[Month],$B$11)</f>
        <v>0</v>
      </c>
      <c r="K3" t="s">
        <v>22</v>
      </c>
      <c r="L3" s="9">
        <f ca="1">SUMIFS(Operations[Amount],Operations[Category],balance_5[[#This Row],[Category]],Operations[Month],$B$11)</f>
        <v>0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5123.83</v>
      </c>
      <c r="D4" s="9">
        <f ca="1">SUMIFS(Operations[Amount],Operations[Bank],flow_5[[#This Row],[Bank]],Operations[Product],flow_5[[#This Row],[Product]],Operations[Month],$B$11)</f>
        <v>2328.61</v>
      </c>
      <c r="E4" s="9">
        <f ca="1">flow_5[[#This Row],[Opening balance]]+flow_5[[#This Row],[Operations]]</f>
        <v>7452.4400000000005</v>
      </c>
      <c r="H4" t="s">
        <v>29</v>
      </c>
      <c r="I4" s="9">
        <f ca="1">SUMIFS(Operations[Amount],Operations[Category],incomes_5[[#This Row],[Category]],Operations[Month],$B$11)</f>
        <v>0</v>
      </c>
      <c r="K4" t="s">
        <v>20</v>
      </c>
      <c r="L4" s="9">
        <f ca="1">SUMIFS(Operations[Amount],Operations[Category],balance_5[[#This Row],[Category]],Operations[Month],$B$11)</f>
        <v>-80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-91.389999999999986</v>
      </c>
      <c r="D5" s="9">
        <f ca="1">SUMIFS(Operations[Amount],Operations[Bank],flow_5[[#This Row],[Bank]],Operations[Product],flow_5[[#This Row],[Product]],Operations[Month],$B$11)</f>
        <v>-908.61</v>
      </c>
      <c r="E5" s="9">
        <f ca="1">flow_5[[#This Row],[Opening balance]]+flow_5[[#This Row],[Operations]]</f>
        <v>-1000</v>
      </c>
      <c r="H5" t="s">
        <v>38</v>
      </c>
      <c r="I5" s="9">
        <f ca="1">SUMIFS(Operations[Amount],Operations[Category],incomes_5[[#This Row],[Category]],Operations[Month],$B$11)</f>
        <v>0</v>
      </c>
      <c r="K5" t="s">
        <v>17</v>
      </c>
      <c r="L5" s="9">
        <f ca="1">SUMIFS(Operations[Amount],Operations[Category],balance_5[[#This Row],[Category]],Operations[Month],$B$11)</f>
        <v>-1000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1200</v>
      </c>
      <c r="D6" s="9">
        <f ca="1">SUMIFS(Operations[Amount],Operations[Bank],flow_5[[#This Row],[Bank]],Operations[Product],flow_5[[#This Row],[Product]],Operations[Month],$B$11)</f>
        <v>0</v>
      </c>
      <c r="E6" s="9">
        <f ca="1">flow_5[[#This Row],[Opening balance]]+flow_5[[#This Row],[Operations]]</f>
        <v>1200</v>
      </c>
      <c r="H6" t="s">
        <v>26</v>
      </c>
      <c r="I6" s="9">
        <f ca="1">SUMIFS(Operations[Amount],Operations[Category],incomes_5[[#This Row],[Category]],Operations[Month],$B$11)</f>
        <v>4500</v>
      </c>
      <c r="K6" t="s">
        <v>21</v>
      </c>
      <c r="L6" s="9">
        <f ca="1">SUMIFS(Operations[Amount],Operations[Category],balance_5[[#This Row],[Category]],Operations[Month],$B$11)</f>
        <v>0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225.51</v>
      </c>
      <c r="D7" s="9">
        <f ca="1">SUMIFS(Operations[Amount],Operations[Bank],flow_5[[#This Row],[Bank]],Operations[Product],flow_5[[#This Row],[Product]],Operations[Month],$B$11)</f>
        <v>0</v>
      </c>
      <c r="E7" s="9">
        <f ca="1">flow_5[[#This Row],[Opening balance]]+flow_5[[#This Row],[Operations]]</f>
        <v>225.51</v>
      </c>
      <c r="H7" t="s">
        <v>27</v>
      </c>
      <c r="I7" s="9">
        <f ca="1">SUMIFS(Operations[Amount],Operations[Category],incomes_5[[#This Row],[Category]],Operations[Month],$B$11)</f>
        <v>0</v>
      </c>
      <c r="K7" t="s">
        <v>19</v>
      </c>
      <c r="L7" s="9">
        <f ca="1">SUMIFS(Operations[Amount],Operations[Category],balance_5[[#This Row],[Category]],Operations[Month],$B$11)</f>
        <v>-50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670.5</v>
      </c>
      <c r="D8" s="9">
        <f ca="1">SUMIFS(Operations[Amount],Operations[Bank],flow_5[[#This Row],[Bank]],Operations[Product],flow_5[[#This Row],[Product]],Operations[Month],$B$11)</f>
        <v>-80</v>
      </c>
      <c r="E8" s="9">
        <f ca="1">flow_5[[#This Row],[Opening balance]]+flow_5[[#This Row],[Operations]]</f>
        <v>590.5</v>
      </c>
      <c r="H8" t="s">
        <v>36</v>
      </c>
      <c r="I8" s="9">
        <f ca="1">SUBTOTAL(109,incomes_5[Total])</f>
        <v>4500</v>
      </c>
      <c r="K8" t="s">
        <v>24</v>
      </c>
      <c r="L8" s="9">
        <f ca="1">SUMIFS(Operations[Amount],Operations[Category],balance_5[[#This Row],[Category]],Operations[Month],$B$11)</f>
        <v>0</v>
      </c>
    </row>
    <row r="9" spans="1:27" x14ac:dyDescent="0.3">
      <c r="A9" t="s">
        <v>36</v>
      </c>
      <c r="C9" s="9">
        <f ca="1">SUBTOTAL(109,flow_5[Opening balance])</f>
        <v>7732.95</v>
      </c>
      <c r="D9" s="9">
        <f ca="1">SUBTOTAL(109,flow_5[Operations])</f>
        <v>1290</v>
      </c>
      <c r="E9" s="9">
        <f ca="1">SUBTOTAL(109,flow_5[Closing balance])</f>
        <v>9022.9500000000007</v>
      </c>
      <c r="K9" t="s">
        <v>23</v>
      </c>
      <c r="L9" s="9">
        <f ca="1">SUMIFS(Operations[Amount],Operations[Category],balance_5[[#This Row],[Category]],Operations[Month],$B$11)</f>
        <v>0</v>
      </c>
    </row>
    <row r="10" spans="1:27" x14ac:dyDescent="0.3">
      <c r="K10" t="s">
        <v>16</v>
      </c>
      <c r="L10" s="9">
        <f ca="1">SUMIFS(Operations[Amount],Operations[Category],balance_5[[#This Row],[Category]],Operations[Month],$B$11)</f>
        <v>-80</v>
      </c>
    </row>
    <row r="11" spans="1:27" x14ac:dyDescent="0.3">
      <c r="A11" s="8" t="s">
        <v>6</v>
      </c>
      <c r="B11" s="10" t="str" cm="1">
        <f t="array" aca="1" ref="B11" ca="1">_xlfn.TEXTAFTER(CELL("filename",A1),"]")</f>
        <v>5</v>
      </c>
      <c r="K11" t="s">
        <v>36</v>
      </c>
      <c r="L11" s="9">
        <f ca="1">SUBTOTAL(109,balance_5[Total])</f>
        <v>-3210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SUMIFS(Operations[Amount],Operations[Type],expenses_5[[#This Row],[Type]],Operations[Month],$B$11)</f>
        <v>-3210</v>
      </c>
    </row>
    <row r="15" spans="1:27" x14ac:dyDescent="0.3">
      <c r="A15" t="s">
        <v>33</v>
      </c>
      <c r="B15" s="9">
        <f ca="1">SUMIFS(Operations[Amount],Operations[Type],expenses_5[[#This Row],[Type]],Operations[Month],$B$11)</f>
        <v>4500</v>
      </c>
    </row>
    <row r="16" spans="1:27" x14ac:dyDescent="0.3">
      <c r="A16" t="s">
        <v>31</v>
      </c>
      <c r="B16" s="9">
        <f ca="1">SUMIFS(Operations[Amount],Operations[Type],expenses_5[[#This Row],[Type]],Operations[Month],$B$11)</f>
        <v>0</v>
      </c>
    </row>
    <row r="17" spans="1:2" x14ac:dyDescent="0.3">
      <c r="A17" t="s">
        <v>36</v>
      </c>
      <c r="B17" s="9">
        <f ca="1">SUBTOTAL(109,expenses_5[Total])</f>
        <v>1290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9A97-BB5A-4075-BAC5-C9A288A8AAEB}">
  <dimension ref="A1:AA17"/>
  <sheetViews>
    <sheetView workbookViewId="0">
      <selection activeCell="C2" sqref="C2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218.5</v>
      </c>
      <c r="D2" s="9">
        <f ca="1">SUMIFS(Operations[Amount],Operations[Bank],flow_6[[#This Row],[Bank]],Operations[Product],flow_6[[#This Row],[Product]],Operations[Month],$B$11)</f>
        <v>250</v>
      </c>
      <c r="E2" s="9">
        <f ca="1">flow_6[[#This Row],[Opening balance]]+flow_6[[#This Row],[Operations]]</f>
        <v>468.5</v>
      </c>
      <c r="H2" t="s">
        <v>25</v>
      </c>
      <c r="I2" s="9">
        <f ca="1">SUMIFS(Operations[Amount],Operations[Category],incomes_6[[#This Row],[Category]],Operations[Month],$B$11)</f>
        <v>400</v>
      </c>
      <c r="K2" t="s">
        <v>18</v>
      </c>
      <c r="L2" s="9">
        <f ca="1">SUMIFS(Operations[Amount],Operations[Category],balance_6[[#This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336</v>
      </c>
      <c r="D3" s="9">
        <f ca="1">SUMIFS(Operations[Amount],Operations[Bank],flow_6[[#This Row],[Bank]],Operations[Product],flow_6[[#This Row],[Product]],Operations[Month],$B$11)</f>
        <v>0</v>
      </c>
      <c r="E3" s="9">
        <f ca="1">flow_6[[#This Row],[Opening balance]]+flow_6[[#This Row],[Operations]]</f>
        <v>336</v>
      </c>
      <c r="H3" t="s">
        <v>28</v>
      </c>
      <c r="I3" s="9">
        <f ca="1">SUMIFS(Operations[Amount],Operations[Category],incomes_6[[#This Row],[Category]],Operations[Month],$B$11)</f>
        <v>0</v>
      </c>
      <c r="K3" t="s">
        <v>22</v>
      </c>
      <c r="L3" s="9">
        <f ca="1">SUMIFS(Operations[Amount],Operations[Category],balance_6[[#This Row],[Category]],Operations[Month],$B$11)</f>
        <v>-300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7452.4400000000005</v>
      </c>
      <c r="D4" s="9">
        <f ca="1">SUMIFS(Operations[Amount],Operations[Bank],flow_6[[#This Row],[Bank]],Operations[Product],flow_6[[#This Row],[Product]],Operations[Month],$B$11)</f>
        <v>1420</v>
      </c>
      <c r="E4" s="9">
        <f ca="1">flow_6[[#This Row],[Opening balance]]+flow_6[[#This Row],[Operations]]</f>
        <v>8872.44</v>
      </c>
      <c r="H4" t="s">
        <v>29</v>
      </c>
      <c r="I4" s="9">
        <f ca="1">SUMIFS(Operations[Amount],Operations[Category],incomes_6[[#This Row],[Category]],Operations[Month],$B$11)</f>
        <v>0</v>
      </c>
      <c r="K4" t="s">
        <v>20</v>
      </c>
      <c r="L4" s="9">
        <f ca="1">SUMIFS(Operations[Amount],Operations[Category],balance_6[[#This Row],[Category]],Operations[Month],$B$11)</f>
        <v>-200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-1000</v>
      </c>
      <c r="D5" s="9">
        <f ca="1">SUMIFS(Operations[Amount],Operations[Bank],flow_6[[#This Row],[Bank]],Operations[Product],flow_6[[#This Row],[Product]],Operations[Month],$B$11)</f>
        <v>-300</v>
      </c>
      <c r="E5" s="9">
        <f ca="1">flow_6[[#This Row],[Opening balance]]+flow_6[[#This Row],[Operations]]</f>
        <v>-1300</v>
      </c>
      <c r="H5" t="s">
        <v>38</v>
      </c>
      <c r="I5" s="9">
        <f ca="1">SUMIFS(Operations[Amount],Operations[Category],incomes_6[[#This Row],[Category]],Operations[Month],$B$11)</f>
        <v>0</v>
      </c>
      <c r="K5" t="s">
        <v>17</v>
      </c>
      <c r="L5" s="9">
        <f ca="1">SUMIFS(Operations[Amount],Operations[Category],balance_6[[#This Row],[Category]],Operations[Month],$B$11)</f>
        <v>-1000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1200</v>
      </c>
      <c r="D6" s="9">
        <f ca="1">SUMIFS(Operations[Amount],Operations[Bank],flow_6[[#This Row],[Bank]],Operations[Product],flow_6[[#This Row],[Product]],Operations[Month],$B$11)</f>
        <v>0</v>
      </c>
      <c r="E6" s="9">
        <f ca="1">flow_6[[#This Row],[Opening balance]]+flow_6[[#This Row],[Operations]]</f>
        <v>1200</v>
      </c>
      <c r="H6" t="s">
        <v>26</v>
      </c>
      <c r="I6" s="9">
        <f ca="1">SUMIFS(Operations[Amount],Operations[Category],incomes_6[[#This Row],[Category]],Operations[Month],$B$11)</f>
        <v>4500</v>
      </c>
      <c r="K6" t="s">
        <v>21</v>
      </c>
      <c r="L6" s="9">
        <f ca="1">SUMIFS(Operations[Amount],Operations[Category],balance_6[[#This Row],[Category]],Operations[Month],$B$11)</f>
        <v>-100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225.51</v>
      </c>
      <c r="D7" s="9">
        <f ca="1">SUMIFS(Operations[Amount],Operations[Bank],flow_6[[#This Row],[Bank]],Operations[Product],flow_6[[#This Row],[Product]],Operations[Month],$B$11)</f>
        <v>0</v>
      </c>
      <c r="E7" s="9">
        <f ca="1">flow_6[[#This Row],[Opening balance]]+flow_6[[#This Row],[Operations]]</f>
        <v>225.51</v>
      </c>
      <c r="H7" t="s">
        <v>27</v>
      </c>
      <c r="I7" s="9">
        <f ca="1">SUMIFS(Operations[Amount],Operations[Category],incomes_6[[#This Row],[Category]],Operations[Month],$B$11)</f>
        <v>0</v>
      </c>
      <c r="K7" t="s">
        <v>19</v>
      </c>
      <c r="L7" s="9">
        <f ca="1">SUMIFS(Operations[Amount],Operations[Category],balance_6[[#This Row],[Category]],Operations[Month],$B$11)</f>
        <v>-50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590.5</v>
      </c>
      <c r="D8" s="9">
        <f ca="1">SUMIFS(Operations[Amount],Operations[Bank],flow_6[[#This Row],[Bank]],Operations[Product],flow_6[[#This Row],[Product]],Operations[Month],$B$11)</f>
        <v>-200</v>
      </c>
      <c r="E8" s="9">
        <f ca="1">flow_6[[#This Row],[Opening balance]]+flow_6[[#This Row],[Operations]]</f>
        <v>390.5</v>
      </c>
      <c r="H8" t="s">
        <v>36</v>
      </c>
      <c r="I8" s="9">
        <f ca="1">SUBTOTAL(109,incomes_6[Total])</f>
        <v>4900</v>
      </c>
      <c r="K8" t="s">
        <v>24</v>
      </c>
      <c r="L8" s="9">
        <f ca="1">SUMIFS(Operations[Amount],Operations[Category],balance_6[[#This Row],[Category]],Operations[Month],$B$11)</f>
        <v>0</v>
      </c>
    </row>
    <row r="9" spans="1:27" x14ac:dyDescent="0.3">
      <c r="A9" t="s">
        <v>36</v>
      </c>
      <c r="C9" s="9">
        <f ca="1">SUBTOTAL(109,flow_6[Opening balance])</f>
        <v>9022.9500000000007</v>
      </c>
      <c r="D9" s="9">
        <f ca="1">SUBTOTAL(109,flow_6[Operations])</f>
        <v>1170</v>
      </c>
      <c r="E9" s="9">
        <f ca="1">SUBTOTAL(109,flow_6[Closing balance])</f>
        <v>10192.950000000001</v>
      </c>
      <c r="K9" t="s">
        <v>23</v>
      </c>
      <c r="L9" s="9">
        <f ca="1">SUMIFS(Operations[Amount],Operations[Category],balance_6[[#This Row],[Category]],Operations[Month],$B$11)</f>
        <v>0</v>
      </c>
    </row>
    <row r="10" spans="1:27" x14ac:dyDescent="0.3">
      <c r="K10" t="s">
        <v>16</v>
      </c>
      <c r="L10" s="9">
        <f ca="1">SUMIFS(Operations[Amount],Operations[Category],balance_6[[#This Row],[Category]],Operations[Month],$B$11)</f>
        <v>-80</v>
      </c>
    </row>
    <row r="11" spans="1:27" x14ac:dyDescent="0.3">
      <c r="A11" s="8" t="s">
        <v>6</v>
      </c>
      <c r="B11" s="10" t="str" cm="1">
        <f t="array" aca="1" ref="B11" ca="1">_xlfn.TEXTAFTER(CELL("filename",A1),"]")</f>
        <v>6</v>
      </c>
      <c r="K11" t="s">
        <v>36</v>
      </c>
      <c r="L11" s="9">
        <f ca="1">SUBTOTAL(109,balance_6[Total])</f>
        <v>-3730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SUMIFS(Operations[Amount],Operations[Type],expenses_6[[#This Row],[Type]],Operations[Month],$B$11)</f>
        <v>-3730</v>
      </c>
    </row>
    <row r="15" spans="1:27" x14ac:dyDescent="0.3">
      <c r="A15" t="s">
        <v>33</v>
      </c>
      <c r="B15" s="9">
        <f ca="1">SUMIFS(Operations[Amount],Operations[Type],expenses_6[[#This Row],[Type]],Operations[Month],$B$11)</f>
        <v>4900</v>
      </c>
    </row>
    <row r="16" spans="1:27" x14ac:dyDescent="0.3">
      <c r="A16" t="s">
        <v>31</v>
      </c>
      <c r="B16" s="9">
        <f ca="1">SUMIFS(Operations[Amount],Operations[Type],expenses_6[[#This Row],[Type]],Operations[Month],$B$11)</f>
        <v>0</v>
      </c>
    </row>
    <row r="17" spans="1:2" x14ac:dyDescent="0.3">
      <c r="A17" t="s">
        <v>36</v>
      </c>
      <c r="B17" s="9">
        <f ca="1">SUBTOTAL(109,expenses_6[Total])</f>
        <v>1170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9550-EB0C-4DBC-8476-A81F34B6F6FE}">
  <dimension ref="A1:AA17"/>
  <sheetViews>
    <sheetView workbookViewId="0">
      <selection activeCell="D28" sqref="D28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468.5</v>
      </c>
      <c r="D2" s="9">
        <f ca="1">SUMIFS(Operations[Amount],Operations[Bank],flow_7[[#This Row],[Bank]],Operations[Product],flow_7[[#This Row],[Product]],Operations[Month],$B$11)</f>
        <v>-100</v>
      </c>
      <c r="E2" s="9">
        <f ca="1">flow_7[[#This Row],[Opening balance]]+flow_7[[#This Row],[Operations]]</f>
        <v>368.5</v>
      </c>
      <c r="H2" t="s">
        <v>25</v>
      </c>
      <c r="I2" s="9">
        <f ca="1">SUMIFS(Operations[Amount],Operations[Category],incomes_7[[#This Row],[Category]],Operations[Month],$B$11)</f>
        <v>0</v>
      </c>
      <c r="K2" t="s">
        <v>18</v>
      </c>
      <c r="L2" s="9">
        <f ca="1">SUMIFS(Operations[Amount],Operations[Category],balance_7[[#This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336</v>
      </c>
      <c r="D3" s="9">
        <f ca="1">SUMIFS(Operations[Amount],Operations[Bank],flow_7[[#This Row],[Bank]],Operations[Product],flow_7[[#This Row],[Product]],Operations[Month],$B$11)</f>
        <v>550</v>
      </c>
      <c r="E3" s="9">
        <f ca="1">flow_7[[#This Row],[Opening balance]]+flow_7[[#This Row],[Operations]]</f>
        <v>886</v>
      </c>
      <c r="H3" t="s">
        <v>28</v>
      </c>
      <c r="I3" s="9">
        <f ca="1">SUMIFS(Operations[Amount],Operations[Category],incomes_7[[#This Row],[Category]],Operations[Month],$B$11)</f>
        <v>120</v>
      </c>
      <c r="K3" t="s">
        <v>22</v>
      </c>
      <c r="L3" s="9">
        <f ca="1">SUMIFS(Operations[Amount],Operations[Category],balance_7[[#This Row],[Category]],Operations[Month],$B$11)</f>
        <v>-250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8872.44</v>
      </c>
      <c r="D4" s="9">
        <f ca="1">SUMIFS(Operations[Amount],Operations[Bank],flow_7[[#This Row],[Bank]],Operations[Product],flow_7[[#This Row],[Product]],Operations[Month],$B$11)</f>
        <v>1010</v>
      </c>
      <c r="E4" s="9">
        <f ca="1">flow_7[[#This Row],[Opening balance]]+flow_7[[#This Row],[Operations]]</f>
        <v>9882.44</v>
      </c>
      <c r="H4" t="s">
        <v>29</v>
      </c>
      <c r="I4" s="9">
        <f ca="1">SUMIFS(Operations[Amount],Operations[Category],incomes_7[[#This Row],[Category]],Operations[Month],$B$11)</f>
        <v>800</v>
      </c>
      <c r="K4" t="s">
        <v>20</v>
      </c>
      <c r="L4" s="9">
        <f ca="1">SUMIFS(Operations[Amount],Operations[Category],balance_7[[#This Row],[Category]],Operations[Month],$B$11)</f>
        <v>-700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-1300</v>
      </c>
      <c r="D5" s="9">
        <f ca="1">SUMIFS(Operations[Amount],Operations[Bank],flow_7[[#This Row],[Bank]],Operations[Product],flow_7[[#This Row],[Product]],Operations[Month],$B$11)</f>
        <v>1165</v>
      </c>
      <c r="E5" s="9">
        <f ca="1">flow_7[[#This Row],[Opening balance]]+flow_7[[#This Row],[Operations]]</f>
        <v>-135</v>
      </c>
      <c r="H5" t="s">
        <v>38</v>
      </c>
      <c r="I5" s="9">
        <f ca="1">SUMIFS(Operations[Amount],Operations[Category],incomes_7[[#This Row],[Category]],Operations[Month],$B$11)</f>
        <v>0</v>
      </c>
      <c r="K5" t="s">
        <v>17</v>
      </c>
      <c r="L5" s="9">
        <f ca="1">SUMIFS(Operations[Amount],Operations[Category],balance_7[[#This Row],[Category]],Operations[Month],$B$11)</f>
        <v>-165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1200</v>
      </c>
      <c r="D6" s="9">
        <f ca="1">SUMIFS(Operations[Amount],Operations[Bank],flow_7[[#This Row],[Bank]],Operations[Product],flow_7[[#This Row],[Product]],Operations[Month],$B$11)</f>
        <v>-180</v>
      </c>
      <c r="E6" s="9">
        <f ca="1">flow_7[[#This Row],[Opening balance]]+flow_7[[#This Row],[Operations]]</f>
        <v>1020</v>
      </c>
      <c r="H6" t="s">
        <v>26</v>
      </c>
      <c r="I6" s="9">
        <f ca="1">SUMIFS(Operations[Amount],Operations[Category],incomes_7[[#This Row],[Category]],Operations[Month],$B$11)</f>
        <v>4500</v>
      </c>
      <c r="K6" t="s">
        <v>21</v>
      </c>
      <c r="L6" s="9">
        <f ca="1">SUMIFS(Operations[Amount],Operations[Category],balance_7[[#This Row],[Category]],Operations[Month],$B$11)</f>
        <v>-300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225.51</v>
      </c>
      <c r="D7" s="9">
        <f ca="1">SUMIFS(Operations[Amount],Operations[Bank],flow_7[[#This Row],[Bank]],Operations[Product],flow_7[[#This Row],[Product]],Operations[Month],$B$11)</f>
        <v>-30</v>
      </c>
      <c r="E7" s="9">
        <f ca="1">flow_7[[#This Row],[Opening balance]]+flow_7[[#This Row],[Operations]]</f>
        <v>195.51</v>
      </c>
      <c r="H7" t="s">
        <v>27</v>
      </c>
      <c r="I7" s="9">
        <f ca="1">SUMIFS(Operations[Amount],Operations[Category],incomes_7[[#This Row],[Category]],Operations[Month],$B$11)</f>
        <v>500</v>
      </c>
      <c r="K7" t="s">
        <v>19</v>
      </c>
      <c r="L7" s="9">
        <f ca="1">SUMIFS(Operations[Amount],Operations[Category],balance_7[[#This Row],[Category]],Operations[Month],$B$11)</f>
        <v>0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390.5</v>
      </c>
      <c r="D8" s="9">
        <f ca="1">SUMIFS(Operations[Amount],Operations[Bank],flow_7[[#This Row],[Bank]],Operations[Product],flow_7[[#This Row],[Product]],Operations[Month],$B$11)</f>
        <v>0</v>
      </c>
      <c r="E8" s="9">
        <f ca="1">flow_7[[#This Row],[Opening balance]]+flow_7[[#This Row],[Operations]]</f>
        <v>390.5</v>
      </c>
      <c r="H8" t="s">
        <v>36</v>
      </c>
      <c r="I8" s="9">
        <f ca="1">SUBTOTAL(109,incomes_7[Total])</f>
        <v>5920</v>
      </c>
      <c r="K8" t="s">
        <v>24</v>
      </c>
      <c r="L8" s="9">
        <f ca="1">SUMIFS(Operations[Amount],Operations[Category],balance_7[[#This Row],[Category]],Operations[Month],$B$11)</f>
        <v>0</v>
      </c>
    </row>
    <row r="9" spans="1:27" x14ac:dyDescent="0.3">
      <c r="A9" t="s">
        <v>36</v>
      </c>
      <c r="C9" s="9">
        <f ca="1">SUBTOTAL(109,flow_7[Opening balance])</f>
        <v>10192.950000000001</v>
      </c>
      <c r="D9" s="9">
        <f ca="1">SUBTOTAL(109,flow_7[Operations])</f>
        <v>2415</v>
      </c>
      <c r="E9" s="9">
        <f ca="1">SUBTOTAL(109,flow_7[Closing balance])</f>
        <v>12607.95</v>
      </c>
      <c r="K9" t="s">
        <v>23</v>
      </c>
      <c r="L9" s="9">
        <f ca="1">SUMIFS(Operations[Amount],Operations[Category],balance_7[[#This Row],[Category]],Operations[Month],$B$11)</f>
        <v>0</v>
      </c>
    </row>
    <row r="10" spans="1:27" x14ac:dyDescent="0.3">
      <c r="K10" t="s">
        <v>16</v>
      </c>
      <c r="L10" s="9">
        <f ca="1">SUMIFS(Operations[Amount],Operations[Category],balance_7[[#This Row],[Category]],Operations[Month],$B$11)</f>
        <v>-90</v>
      </c>
    </row>
    <row r="11" spans="1:27" x14ac:dyDescent="0.3">
      <c r="A11" s="8" t="s">
        <v>6</v>
      </c>
      <c r="B11" s="10" t="str" cm="1">
        <f t="array" aca="1" ref="B11" ca="1">_xlfn.TEXTAFTER(CELL("filename",A1),"]")</f>
        <v>7</v>
      </c>
      <c r="K11" t="s">
        <v>36</v>
      </c>
      <c r="L11" s="9">
        <f ca="1">SUBTOTAL(109,balance_7[Total])</f>
        <v>-3505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SUMIFS(Operations[Amount],Operations[Type],expenses_7[[#This Row],[Type]],Operations[Month],$B$11)</f>
        <v>-3505</v>
      </c>
    </row>
    <row r="15" spans="1:27" x14ac:dyDescent="0.3">
      <c r="A15" t="s">
        <v>33</v>
      </c>
      <c r="B15" s="9">
        <f ca="1">SUMIFS(Operations[Amount],Operations[Type],expenses_7[[#This Row],[Type]],Operations[Month],$B$11)</f>
        <v>5920</v>
      </c>
    </row>
    <row r="16" spans="1:27" x14ac:dyDescent="0.3">
      <c r="A16" t="s">
        <v>31</v>
      </c>
      <c r="B16" s="9">
        <f ca="1">SUMIFS(Operations[Amount],Operations[Type],expenses_7[[#This Row],[Type]],Operations[Month],$B$11)</f>
        <v>0</v>
      </c>
    </row>
    <row r="17" spans="1:2" x14ac:dyDescent="0.3">
      <c r="A17" t="s">
        <v>36</v>
      </c>
      <c r="B17" s="9">
        <f ca="1">SUBTOTAL(109,expenses_7[Total])</f>
        <v>2415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EC68-82B4-4F72-A6F5-74BFBA187C7C}">
  <dimension ref="A1:AA17"/>
  <sheetViews>
    <sheetView workbookViewId="0">
      <selection activeCell="E34" sqref="A32:E34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368.5</v>
      </c>
      <c r="D2" s="9">
        <f ca="1">SUMIFS(Operations[Amount],Operations[Bank],flow_8[[#This Row],[Bank]],Operations[Product],flow_8[[#This Row],[Product]],Operations[Month],$B$11)</f>
        <v>200</v>
      </c>
      <c r="E2" s="9">
        <f ca="1">flow_8[[#This Row],[Opening balance]]+flow_8[[#This Row],[Operations]]</f>
        <v>568.5</v>
      </c>
      <c r="H2" t="s">
        <v>25</v>
      </c>
      <c r="I2" s="9">
        <f ca="1">SUMIFS(Operations[Amount],Operations[Category],incomes_8[[#This Row],[Category]],Operations[Month],$B$11)</f>
        <v>0</v>
      </c>
      <c r="K2" t="s">
        <v>18</v>
      </c>
      <c r="L2" s="9">
        <f ca="1">SUMIFS(Operations[Amount],Operations[Category],balance_8[[#This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886</v>
      </c>
      <c r="D3" s="9">
        <f ca="1">SUMIFS(Operations[Amount],Operations[Bank],flow_8[[#This Row],[Bank]],Operations[Product],flow_8[[#This Row],[Product]],Operations[Month],$B$11)</f>
        <v>-300</v>
      </c>
      <c r="E3" s="9">
        <f ca="1">flow_8[[#This Row],[Opening balance]]+flow_8[[#This Row],[Operations]]</f>
        <v>586</v>
      </c>
      <c r="H3" t="s">
        <v>28</v>
      </c>
      <c r="I3" s="9">
        <f ca="1">SUMIFS(Operations[Amount],Operations[Category],incomes_8[[#This Row],[Category]],Operations[Month],$B$11)</f>
        <v>0</v>
      </c>
      <c r="K3" t="s">
        <v>22</v>
      </c>
      <c r="L3" s="9">
        <f ca="1">SUMIFS(Operations[Amount],Operations[Category],balance_8[[#This Row],[Category]],Operations[Month],$B$11)</f>
        <v>-300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9882.44</v>
      </c>
      <c r="D4" s="9">
        <f ca="1">SUMIFS(Operations[Amount],Operations[Bank],flow_8[[#This Row],[Bank]],Operations[Product],flow_8[[#This Row],[Product]],Operations[Month],$B$11)</f>
        <v>2495</v>
      </c>
      <c r="E4" s="9">
        <f ca="1">flow_8[[#This Row],[Opening balance]]+flow_8[[#This Row],[Operations]]</f>
        <v>12377.44</v>
      </c>
      <c r="H4" t="s">
        <v>29</v>
      </c>
      <c r="I4" s="9">
        <f ca="1">SUMIFS(Operations[Amount],Operations[Category],incomes_8[[#This Row],[Category]],Operations[Month],$B$11)</f>
        <v>400</v>
      </c>
      <c r="K4" t="s">
        <v>20</v>
      </c>
      <c r="L4" s="9">
        <f ca="1">SUMIFS(Operations[Amount],Operations[Category],balance_8[[#This Row],[Category]],Operations[Month],$B$11)</f>
        <v>-250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-135</v>
      </c>
      <c r="D5" s="9">
        <f ca="1">SUMIFS(Operations[Amount],Operations[Bank],flow_8[[#This Row],[Bank]],Operations[Product],flow_8[[#This Row],[Product]],Operations[Month],$B$11)</f>
        <v>33</v>
      </c>
      <c r="E5" s="9">
        <f ca="1">flow_8[[#This Row],[Opening balance]]+flow_8[[#This Row],[Operations]]</f>
        <v>-102</v>
      </c>
      <c r="H5" t="s">
        <v>38</v>
      </c>
      <c r="I5" s="9">
        <f ca="1">SUMIFS(Operations[Amount],Operations[Category],incomes_8[[#This Row],[Category]],Operations[Month],$B$11)</f>
        <v>0</v>
      </c>
      <c r="K5" t="s">
        <v>17</v>
      </c>
      <c r="L5" s="9">
        <f ca="1">SUMIFS(Operations[Amount],Operations[Category],balance_8[[#This Row],[Category]],Operations[Month],$B$11)</f>
        <v>-749.5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1020</v>
      </c>
      <c r="D6" s="9">
        <f ca="1">SUMIFS(Operations[Amount],Operations[Bank],flow_8[[#This Row],[Bank]],Operations[Product],flow_8[[#This Row],[Product]],Operations[Month],$B$11)</f>
        <v>-1020</v>
      </c>
      <c r="E6" s="9">
        <f ca="1">flow_8[[#This Row],[Opening balance]]+flow_8[[#This Row],[Operations]]</f>
        <v>0</v>
      </c>
      <c r="H6" t="s">
        <v>26</v>
      </c>
      <c r="I6" s="9">
        <f ca="1">SUMIFS(Operations[Amount],Operations[Category],incomes_8[[#This Row],[Category]],Operations[Month],$B$11)</f>
        <v>4500</v>
      </c>
      <c r="K6" t="s">
        <v>21</v>
      </c>
      <c r="L6" s="9">
        <f ca="1">SUMIFS(Operations[Amount],Operations[Category],balance_8[[#This Row],[Category]],Operations[Month],$B$11)</f>
        <v>-400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195.51</v>
      </c>
      <c r="D7" s="9">
        <f ca="1">SUMIFS(Operations[Amount],Operations[Bank],flow_8[[#This Row],[Bank]],Operations[Product],flow_8[[#This Row],[Product]],Operations[Month],$B$11)</f>
        <v>0</v>
      </c>
      <c r="E7" s="9">
        <f ca="1">flow_8[[#This Row],[Opening balance]]+flow_8[[#This Row],[Operations]]</f>
        <v>195.51</v>
      </c>
      <c r="H7" t="s">
        <v>27</v>
      </c>
      <c r="I7" s="9">
        <f ca="1">SUMIFS(Operations[Amount],Operations[Category],incomes_8[[#This Row],[Category]],Operations[Month],$B$11)</f>
        <v>500</v>
      </c>
      <c r="K7" t="s">
        <v>19</v>
      </c>
      <c r="L7" s="9">
        <f ca="1">SUMIFS(Operations[Amount],Operations[Category],balance_8[[#This Row],[Category]],Operations[Month],$B$11)</f>
        <v>0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390.5</v>
      </c>
      <c r="D8" s="9">
        <f ca="1">SUMIFS(Operations[Amount],Operations[Bank],flow_8[[#This Row],[Bank]],Operations[Product],flow_8[[#This Row],[Product]],Operations[Month],$B$11)</f>
        <v>2.5</v>
      </c>
      <c r="E8" s="9">
        <f ca="1">flow_8[[#This Row],[Opening balance]]+flow_8[[#This Row],[Operations]]</f>
        <v>393</v>
      </c>
      <c r="H8" t="s">
        <v>36</v>
      </c>
      <c r="I8" s="9">
        <f ca="1">SUBTOTAL(109,incomes_8[Total])</f>
        <v>5400</v>
      </c>
      <c r="K8" t="s">
        <v>24</v>
      </c>
      <c r="L8" s="9">
        <f ca="1">SUMIFS(Operations[Amount],Operations[Category],balance_8[[#This Row],[Category]],Operations[Month],$B$11)</f>
        <v>0</v>
      </c>
    </row>
    <row r="9" spans="1:27" x14ac:dyDescent="0.3">
      <c r="A9" t="s">
        <v>36</v>
      </c>
      <c r="C9" s="9">
        <f ca="1">SUBTOTAL(109,flow_8[Opening balance])</f>
        <v>12607.95</v>
      </c>
      <c r="D9" s="9">
        <f ca="1">SUBTOTAL(109,flow_8[Operations])</f>
        <v>1410.5</v>
      </c>
      <c r="E9" s="9">
        <f ca="1">SUBTOTAL(109,flow_8[Closing balance])</f>
        <v>14018.45</v>
      </c>
      <c r="K9" t="s">
        <v>23</v>
      </c>
      <c r="L9" s="9">
        <f ca="1">SUMIFS(Operations[Amount],Operations[Category],balance_8[[#This Row],[Category]],Operations[Month],$B$11)</f>
        <v>0</v>
      </c>
    </row>
    <row r="10" spans="1:27" x14ac:dyDescent="0.3">
      <c r="K10" t="s">
        <v>16</v>
      </c>
      <c r="L10" s="9">
        <f ca="1">SUMIFS(Operations[Amount],Operations[Category],balance_8[[#This Row],[Category]],Operations[Month],$B$11)</f>
        <v>-290</v>
      </c>
    </row>
    <row r="11" spans="1:27" x14ac:dyDescent="0.3">
      <c r="A11" s="8" t="s">
        <v>6</v>
      </c>
      <c r="B11" s="10" t="str" cm="1">
        <f t="array" aca="1" ref="B11" ca="1">_xlfn.TEXTAFTER(CELL("filename",A1),"]")</f>
        <v>8</v>
      </c>
      <c r="K11" t="s">
        <v>36</v>
      </c>
      <c r="L11" s="9">
        <f ca="1">SUBTOTAL(109,balance_8[Total])</f>
        <v>-3989.5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SUMIFS(Operations[Amount],Operations[Type],expenses_8[[#This Row],[Type]],Operations[Month],$B$11)</f>
        <v>-3989.5</v>
      </c>
    </row>
    <row r="15" spans="1:27" x14ac:dyDescent="0.3">
      <c r="A15" t="s">
        <v>33</v>
      </c>
      <c r="B15" s="9">
        <f ca="1">SUMIFS(Operations[Amount],Operations[Type],expenses_8[[#This Row],[Type]],Operations[Month],$B$11)</f>
        <v>5400</v>
      </c>
    </row>
    <row r="16" spans="1:27" x14ac:dyDescent="0.3">
      <c r="A16" t="s">
        <v>31</v>
      </c>
      <c r="B16" s="9">
        <f ca="1">SUMIFS(Operations[Amount],Operations[Type],expenses_8[[#This Row],[Type]],Operations[Month],$B$11)</f>
        <v>0</v>
      </c>
    </row>
    <row r="17" spans="1:2" x14ac:dyDescent="0.3">
      <c r="A17" t="s">
        <v>36</v>
      </c>
      <c r="B17" s="9">
        <f ca="1">SUBTOTAL(109,expenses_8[Total])</f>
        <v>1410.5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9966-381E-4D34-B7B9-3D93479B1347}">
  <dimension ref="A1:AA17"/>
  <sheetViews>
    <sheetView workbookViewId="0">
      <selection activeCell="G4" sqref="G4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568.5</v>
      </c>
      <c r="D2" s="9">
        <f ca="1">SUMIFS(Operations[Amount],Operations[Bank],flow_9[[#This Row],[Bank]],Operations[Product],flow_9[[#This Row],[Product]],Operations[Month],$B$11)</f>
        <v>-20</v>
      </c>
      <c r="E2" s="9">
        <f ca="1">flow_9[[#This Row],[Opening balance]]+flow_9[[#This Row],[Operations]]</f>
        <v>548.5</v>
      </c>
      <c r="H2" t="s">
        <v>25</v>
      </c>
      <c r="I2" s="9">
        <f ca="1">SUMIFS(Operations[Amount],Operations[Category],incomes_9[[#This Row],[Category]],Operations[Month],$B$11)</f>
        <v>0</v>
      </c>
      <c r="K2" t="s">
        <v>18</v>
      </c>
      <c r="L2" s="9">
        <f ca="1">SUMIFS(Operations[Amount],Operations[Category],balance_9[[#This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586</v>
      </c>
      <c r="D3" s="9">
        <f ca="1">SUMIFS(Operations[Amount],Operations[Bank],flow_9[[#This Row],[Bank]],Operations[Product],flow_9[[#This Row],[Product]],Operations[Month],$B$11)</f>
        <v>0</v>
      </c>
      <c r="E3" s="9">
        <f ca="1">flow_9[[#This Row],[Opening balance]]+flow_9[[#This Row],[Operations]]</f>
        <v>586</v>
      </c>
      <c r="H3" t="s">
        <v>28</v>
      </c>
      <c r="I3" s="9">
        <f ca="1">SUMIFS(Operations[Amount],Operations[Category],incomes_9[[#This Row],[Category]],Operations[Month],$B$11)</f>
        <v>0</v>
      </c>
      <c r="K3" t="s">
        <v>22</v>
      </c>
      <c r="L3" s="9">
        <f ca="1">SUMIFS(Operations[Amount],Operations[Category],balance_9[[#This Row],[Category]],Operations[Month],$B$11)</f>
        <v>0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12377.44</v>
      </c>
      <c r="D4" s="9">
        <f ca="1">SUMIFS(Operations[Amount],Operations[Bank],flow_9[[#This Row],[Bank]],Operations[Product],flow_9[[#This Row],[Product]],Operations[Month],$B$11)</f>
        <v>1689.5</v>
      </c>
      <c r="E4" s="9">
        <f ca="1">flow_9[[#This Row],[Opening balance]]+flow_9[[#This Row],[Operations]]</f>
        <v>14066.94</v>
      </c>
      <c r="H4" t="s">
        <v>29</v>
      </c>
      <c r="I4" s="9">
        <f ca="1">SUMIFS(Operations[Amount],Operations[Category],incomes_9[[#This Row],[Category]],Operations[Month],$B$11)</f>
        <v>0</v>
      </c>
      <c r="K4" t="s">
        <v>20</v>
      </c>
      <c r="L4" s="9">
        <f ca="1">SUMIFS(Operations[Amount],Operations[Category],balance_9[[#This Row],[Category]],Operations[Month],$B$11)</f>
        <v>-20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-102</v>
      </c>
      <c r="D5" s="9">
        <f ca="1">SUMIFS(Operations[Amount],Operations[Bank],flow_9[[#This Row],[Bank]],Operations[Product],flow_9[[#This Row],[Product]],Operations[Month],$B$11)</f>
        <v>82</v>
      </c>
      <c r="E5" s="9">
        <f ca="1">flow_9[[#This Row],[Opening balance]]+flow_9[[#This Row],[Operations]]</f>
        <v>-20</v>
      </c>
      <c r="H5" t="s">
        <v>38</v>
      </c>
      <c r="I5" s="9">
        <f ca="1">SUMIFS(Operations[Amount],Operations[Category],incomes_9[[#This Row],[Category]],Operations[Month],$B$11)</f>
        <v>0</v>
      </c>
      <c r="K5" t="s">
        <v>17</v>
      </c>
      <c r="L5" s="9">
        <f ca="1">SUMIFS(Operations[Amount],Operations[Category],balance_9[[#This Row],[Category]],Operations[Month],$B$11)</f>
        <v>-538.5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0</v>
      </c>
      <c r="D6" s="9">
        <f ca="1">SUMIFS(Operations[Amount],Operations[Bank],flow_9[[#This Row],[Bank]],Operations[Product],flow_9[[#This Row],[Product]],Operations[Month],$B$11)</f>
        <v>0</v>
      </c>
      <c r="E6" s="9">
        <f ca="1">flow_9[[#This Row],[Opening balance]]+flow_9[[#This Row],[Operations]]</f>
        <v>0</v>
      </c>
      <c r="H6" t="s">
        <v>26</v>
      </c>
      <c r="I6" s="9">
        <f ca="1">SUMIFS(Operations[Amount],Operations[Category],incomes_9[[#This Row],[Category]],Operations[Month],$B$11)</f>
        <v>4500</v>
      </c>
      <c r="K6" t="s">
        <v>21</v>
      </c>
      <c r="L6" s="9">
        <f ca="1">SUMIFS(Operations[Amount],Operations[Category],balance_9[[#This Row],[Category]],Operations[Month],$B$11)</f>
        <v>0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195.51</v>
      </c>
      <c r="D7" s="9">
        <f ca="1">SUMIFS(Operations[Amount],Operations[Bank],flow_9[[#This Row],[Bank]],Operations[Product],flow_9[[#This Row],[Product]],Operations[Month],$B$11)</f>
        <v>0</v>
      </c>
      <c r="E7" s="9">
        <f ca="1">flow_9[[#This Row],[Opening balance]]+flow_9[[#This Row],[Operations]]</f>
        <v>195.51</v>
      </c>
      <c r="H7" t="s">
        <v>27</v>
      </c>
      <c r="I7" s="9">
        <f ca="1">SUMIFS(Operations[Amount],Operations[Category],incomes_9[[#This Row],[Category]],Operations[Month],$B$11)</f>
        <v>0</v>
      </c>
      <c r="K7" t="s">
        <v>19</v>
      </c>
      <c r="L7" s="9">
        <f ca="1">SUMIFS(Operations[Amount],Operations[Category],balance_9[[#This Row],[Category]],Operations[Month],$B$11)</f>
        <v>-40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393</v>
      </c>
      <c r="D8" s="9">
        <f ca="1">SUMIFS(Operations[Amount],Operations[Bank],flow_9[[#This Row],[Bank]],Operations[Product],flow_9[[#This Row],[Product]],Operations[Month],$B$11)</f>
        <v>0</v>
      </c>
      <c r="E8" s="9">
        <f ca="1">flow_9[[#This Row],[Opening balance]]+flow_9[[#This Row],[Operations]]</f>
        <v>393</v>
      </c>
      <c r="H8" t="s">
        <v>36</v>
      </c>
      <c r="I8" s="9">
        <f ca="1">SUBTOTAL(109,incomes_9[Total])</f>
        <v>4500</v>
      </c>
      <c r="K8" t="s">
        <v>24</v>
      </c>
      <c r="L8" s="9">
        <f ca="1">SUMIFS(Operations[Amount],Operations[Category],balance_9[[#This Row],[Category]],Operations[Month],$B$11)</f>
        <v>0</v>
      </c>
    </row>
    <row r="9" spans="1:27" x14ac:dyDescent="0.3">
      <c r="A9" t="s">
        <v>36</v>
      </c>
      <c r="C9" s="9">
        <f ca="1">SUBTOTAL(109,flow_9[Opening balance])</f>
        <v>14018.45</v>
      </c>
      <c r="D9" s="9">
        <f ca="1">SUBTOTAL(109,flow_9[Operations])</f>
        <v>1751.5</v>
      </c>
      <c r="E9" s="9">
        <f ca="1">SUBTOTAL(109,flow_9[Closing balance])</f>
        <v>15769.95</v>
      </c>
      <c r="K9" t="s">
        <v>23</v>
      </c>
      <c r="L9" s="9">
        <f ca="1">SUMIFS(Operations[Amount],Operations[Category],balance_9[[#This Row],[Category]],Operations[Month],$B$11)</f>
        <v>0</v>
      </c>
    </row>
    <row r="10" spans="1:27" x14ac:dyDescent="0.3">
      <c r="K10" t="s">
        <v>16</v>
      </c>
      <c r="L10" s="9">
        <f ca="1">SUMIFS(Operations[Amount],Operations[Category],balance_9[[#This Row],[Category]],Operations[Month],$B$11)</f>
        <v>-150</v>
      </c>
    </row>
    <row r="11" spans="1:27" x14ac:dyDescent="0.3">
      <c r="A11" s="8" t="s">
        <v>6</v>
      </c>
      <c r="B11" s="10" t="str" cm="1">
        <f t="array" aca="1" ref="B11" ca="1">_xlfn.TEXTAFTER(CELL("filename",A1),"]")</f>
        <v>9</v>
      </c>
      <c r="K11" t="s">
        <v>36</v>
      </c>
      <c r="L11" s="9">
        <f ca="1">SUBTOTAL(109,balance_9[Total])</f>
        <v>-2748.5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SUMIFS(Operations[Amount],Operations[Type],expenses_9[[#This Row],[Type]],Operations[Month],$B$11)</f>
        <v>-2748.5</v>
      </c>
    </row>
    <row r="15" spans="1:27" x14ac:dyDescent="0.3">
      <c r="A15" t="s">
        <v>33</v>
      </c>
      <c r="B15" s="9">
        <f ca="1">SUMIFS(Operations[Amount],Operations[Type],expenses_9[[#This Row],[Type]],Operations[Month],$B$11)</f>
        <v>4500</v>
      </c>
    </row>
    <row r="16" spans="1:27" x14ac:dyDescent="0.3">
      <c r="A16" t="s">
        <v>31</v>
      </c>
      <c r="B16" s="9">
        <f ca="1">SUMIFS(Operations[Amount],Operations[Type],expenses_9[[#This Row],[Type]],Operations[Month],$B$11)</f>
        <v>0</v>
      </c>
    </row>
    <row r="17" spans="1:2" x14ac:dyDescent="0.3">
      <c r="A17" t="s">
        <v>36</v>
      </c>
      <c r="B17" s="9">
        <f ca="1">SUBTOTAL(109,expenses_9[Total])</f>
        <v>1751.5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4C36-33A3-42ED-90CC-E88917211484}">
  <dimension ref="A1:AA17"/>
  <sheetViews>
    <sheetView workbookViewId="0">
      <selection activeCell="B11" sqref="B11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548.5</v>
      </c>
      <c r="D2" s="9">
        <f ca="1">SUMIFS(Operations[Amount],Operations[Bank],flow_10[[#This Row],[Bank]],Operations[Product],flow_10[[#This Row],[Product]],Operations[Month],$B$11)</f>
        <v>0</v>
      </c>
      <c r="E2" s="9">
        <f ca="1">flow_10[[#This Row],[Opening balance]]+flow_10[[#This Row],[Operations]]</f>
        <v>548.5</v>
      </c>
      <c r="H2" t="s">
        <v>25</v>
      </c>
      <c r="I2" s="9">
        <f ca="1">SUMIFS(Operations[Amount],Operations[Category],incomes_10[[#This Row],[Category]],Operations[Month],$B$11)</f>
        <v>0</v>
      </c>
      <c r="K2" t="s">
        <v>18</v>
      </c>
      <c r="L2" s="9">
        <f ca="1">SUMIFS(Operations[Amount],Operations[Category],balance_10[[#This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586</v>
      </c>
      <c r="D3" s="9">
        <f ca="1">SUMIFS(Operations[Amount],Operations[Bank],flow_10[[#This Row],[Bank]],Operations[Product],flow_10[[#This Row],[Product]],Operations[Month],$B$11)</f>
        <v>0</v>
      </c>
      <c r="E3" s="9">
        <f ca="1">flow_10[[#This Row],[Opening balance]]+flow_10[[#This Row],[Operations]]</f>
        <v>586</v>
      </c>
      <c r="H3" t="s">
        <v>28</v>
      </c>
      <c r="I3" s="9">
        <f ca="1">SUMIFS(Operations[Amount],Operations[Category],incomes_10[[#This Row],[Category]],Operations[Month],$B$11)</f>
        <v>0</v>
      </c>
      <c r="K3" t="s">
        <v>22</v>
      </c>
      <c r="L3" s="9">
        <f ca="1">SUMIFS(Operations[Amount],Operations[Category],balance_10[[#This Row],[Category]],Operations[Month],$B$11)</f>
        <v>0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14066.94</v>
      </c>
      <c r="D4" s="9">
        <f ca="1">SUMIFS(Operations[Amount],Operations[Bank],flow_10[[#This Row],[Bank]],Operations[Product],flow_10[[#This Row],[Product]],Operations[Month],$B$11)</f>
        <v>1690</v>
      </c>
      <c r="E4" s="9">
        <f ca="1">flow_10[[#This Row],[Opening balance]]+flow_10[[#This Row],[Operations]]</f>
        <v>15756.94</v>
      </c>
      <c r="H4" t="s">
        <v>29</v>
      </c>
      <c r="I4" s="9">
        <f ca="1">SUMIFS(Operations[Amount],Operations[Category],incomes_10[[#This Row],[Category]],Operations[Month],$B$11)</f>
        <v>0</v>
      </c>
      <c r="K4" t="s">
        <v>20</v>
      </c>
      <c r="L4" s="9">
        <f ca="1">SUMIFS(Operations[Amount],Operations[Category],balance_10[[#This Row],[Category]],Operations[Month],$B$11)</f>
        <v>-40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-20</v>
      </c>
      <c r="D5" s="9">
        <f ca="1">SUMIFS(Operations[Amount],Operations[Bank],flow_10[[#This Row],[Bank]],Operations[Product],flow_10[[#This Row],[Product]],Operations[Month],$B$11)</f>
        <v>-20</v>
      </c>
      <c r="E5" s="9">
        <f ca="1">flow_10[[#This Row],[Opening balance]]+flow_10[[#This Row],[Operations]]</f>
        <v>-40</v>
      </c>
      <c r="H5" t="s">
        <v>38</v>
      </c>
      <c r="I5" s="9">
        <f ca="1">SUMIFS(Operations[Amount],Operations[Category],incomes_10[[#This Row],[Category]],Operations[Month],$B$11)</f>
        <v>0</v>
      </c>
      <c r="K5" t="s">
        <v>17</v>
      </c>
      <c r="L5" s="9">
        <f ca="1">SUMIFS(Operations[Amount],Operations[Category],balance_10[[#This Row],[Category]],Operations[Month],$B$11)</f>
        <v>-600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0</v>
      </c>
      <c r="D6" s="9">
        <f ca="1">SUMIFS(Operations[Amount],Operations[Bank],flow_10[[#This Row],[Bank]],Operations[Product],flow_10[[#This Row],[Product]],Operations[Month],$B$11)</f>
        <v>0</v>
      </c>
      <c r="E6" s="9">
        <f ca="1">flow_10[[#This Row],[Opening balance]]+flow_10[[#This Row],[Operations]]</f>
        <v>0</v>
      </c>
      <c r="H6" t="s">
        <v>26</v>
      </c>
      <c r="I6" s="9">
        <f ca="1">SUMIFS(Operations[Amount],Operations[Category],incomes_10[[#This Row],[Category]],Operations[Month],$B$11)</f>
        <v>4500</v>
      </c>
      <c r="K6" t="s">
        <v>21</v>
      </c>
      <c r="L6" s="9">
        <f ca="1">SUMIFS(Operations[Amount],Operations[Category],balance_10[[#This Row],[Category]],Operations[Month],$B$11)</f>
        <v>0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195.51</v>
      </c>
      <c r="D7" s="9">
        <f ca="1">SUMIFS(Operations[Amount],Operations[Bank],flow_10[[#This Row],[Bank]],Operations[Product],flow_10[[#This Row],[Product]],Operations[Month],$B$11)</f>
        <v>0</v>
      </c>
      <c r="E7" s="9">
        <f ca="1">flow_10[[#This Row],[Opening balance]]+flow_10[[#This Row],[Operations]]</f>
        <v>195.51</v>
      </c>
      <c r="H7" t="s">
        <v>27</v>
      </c>
      <c r="I7" s="9">
        <f ca="1">SUMIFS(Operations[Amount],Operations[Category],incomes_10[[#This Row],[Category]],Operations[Month],$B$11)</f>
        <v>0</v>
      </c>
      <c r="K7" t="s">
        <v>19</v>
      </c>
      <c r="L7" s="9">
        <f ca="1">SUMIFS(Operations[Amount],Operations[Category],balance_10[[#This Row],[Category]],Operations[Month],$B$11)</f>
        <v>-40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393</v>
      </c>
      <c r="D8" s="9">
        <f ca="1">SUMIFS(Operations[Amount],Operations[Bank],flow_10[[#This Row],[Bank]],Operations[Product],flow_10[[#This Row],[Product]],Operations[Month],$B$11)</f>
        <v>0</v>
      </c>
      <c r="E8" s="9">
        <f ca="1">flow_10[[#This Row],[Opening balance]]+flow_10[[#This Row],[Operations]]</f>
        <v>393</v>
      </c>
      <c r="H8" t="s">
        <v>36</v>
      </c>
      <c r="I8" s="9">
        <f ca="1">SUBTOTAL(109,incomes_10[Total])</f>
        <v>4500</v>
      </c>
      <c r="K8" t="s">
        <v>24</v>
      </c>
      <c r="L8" s="9">
        <f ca="1">SUMIFS(Operations[Amount],Operations[Category],balance_10[[#This Row],[Category]],Operations[Month],$B$11)</f>
        <v>0</v>
      </c>
    </row>
    <row r="9" spans="1:27" x14ac:dyDescent="0.3">
      <c r="A9" t="s">
        <v>36</v>
      </c>
      <c r="C9" s="9">
        <f ca="1">SUBTOTAL(109,flow_10[Opening balance])</f>
        <v>15769.95</v>
      </c>
      <c r="D9" s="9">
        <f ca="1">SUBTOTAL(109,flow_10[Operations])</f>
        <v>1670</v>
      </c>
      <c r="E9" s="9">
        <f ca="1">SUBTOTAL(109,flow_10[Closing balance])</f>
        <v>17439.95</v>
      </c>
      <c r="K9" t="s">
        <v>23</v>
      </c>
      <c r="L9" s="9">
        <f ca="1">SUMIFS(Operations[Amount],Operations[Category],balance_10[[#This Row],[Category]],Operations[Month],$B$11)</f>
        <v>0</v>
      </c>
    </row>
    <row r="10" spans="1:27" x14ac:dyDescent="0.3">
      <c r="K10" t="s">
        <v>16</v>
      </c>
      <c r="L10" s="9">
        <f ca="1">SUMIFS(Operations[Amount],Operations[Category],balance_10[[#This Row],[Category]],Operations[Month],$B$11)</f>
        <v>-150</v>
      </c>
    </row>
    <row r="11" spans="1:27" x14ac:dyDescent="0.3">
      <c r="A11" s="8" t="s">
        <v>6</v>
      </c>
      <c r="B11" s="10" t="str" cm="1">
        <f t="array" aca="1" ref="B11" ca="1">_xlfn.TEXTAFTER(CELL("filename",A1),"]")</f>
        <v>10</v>
      </c>
      <c r="K11" t="s">
        <v>36</v>
      </c>
      <c r="L11" s="9">
        <f ca="1">SUBTOTAL(109,balance_10[Total])</f>
        <v>-2830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SUMIFS(Operations[Amount],Operations[Type],expenses_10[[#This Row],[Type]],Operations[Month],$B$11)</f>
        <v>-2830</v>
      </c>
    </row>
    <row r="15" spans="1:27" x14ac:dyDescent="0.3">
      <c r="A15" t="s">
        <v>33</v>
      </c>
      <c r="B15" s="9">
        <f ca="1">SUMIFS(Operations[Amount],Operations[Type],expenses_10[[#This Row],[Type]],Operations[Month],$B$11)</f>
        <v>4500</v>
      </c>
    </row>
    <row r="16" spans="1:27" x14ac:dyDescent="0.3">
      <c r="A16" t="s">
        <v>31</v>
      </c>
      <c r="B16" s="9">
        <f ca="1">SUMIFS(Operations[Amount],Operations[Type],expenses_10[[#This Row],[Type]],Operations[Month],$B$11)</f>
        <v>0</v>
      </c>
    </row>
    <row r="17" spans="1:2" x14ac:dyDescent="0.3">
      <c r="A17" t="s">
        <v>36</v>
      </c>
      <c r="B17" s="9">
        <f ca="1">SUBTOTAL(109,expenses_10[Total])</f>
        <v>1670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86B0-14CD-458C-AC80-F879061C7978}">
  <dimension ref="A1:AA17"/>
  <sheetViews>
    <sheetView workbookViewId="0">
      <selection activeCell="O22" sqref="A22:O22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548.5</v>
      </c>
      <c r="D2" s="9">
        <f ca="1">SUMIFS(Operations[Amount],Operations[Bank],flow_11[[#This Row],[Bank]],Operations[Product],flow_11[[#This Row],[Product]],Operations[Month],$B$11)</f>
        <v>0</v>
      </c>
      <c r="E2" s="9">
        <f ca="1">flow_11[[#This Row],[Opening balance]]+flow_11[[#This Row],[Operations]]</f>
        <v>548.5</v>
      </c>
      <c r="H2" t="s">
        <v>25</v>
      </c>
      <c r="I2" s="9">
        <f ca="1">SUMIFS(Operations[Amount],Operations[Category],incomes_11[[#This Row],[Category]],Operations[Month],$B$11)</f>
        <v>0</v>
      </c>
      <c r="K2" t="s">
        <v>18</v>
      </c>
      <c r="L2" s="9">
        <f ca="1">SUMIFS(Operations[Amount],Operations[Category],balance_11[[#This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586</v>
      </c>
      <c r="D3" s="9">
        <f ca="1">SUMIFS(Operations[Amount],Operations[Bank],flow_11[[#This Row],[Bank]],Operations[Product],flow_11[[#This Row],[Product]],Operations[Month],$B$11)</f>
        <v>0</v>
      </c>
      <c r="E3" s="9">
        <f ca="1">flow_11[[#This Row],[Opening balance]]+flow_11[[#This Row],[Operations]]</f>
        <v>586</v>
      </c>
      <c r="H3" t="s">
        <v>28</v>
      </c>
      <c r="I3" s="9">
        <f ca="1">SUMIFS(Operations[Amount],Operations[Category],incomes_11[[#This Row],[Category]],Operations[Month],$B$11)</f>
        <v>0</v>
      </c>
      <c r="K3" t="s">
        <v>22</v>
      </c>
      <c r="L3" s="9">
        <f ca="1">SUMIFS(Operations[Amount],Operations[Category],balance_11[[#This Row],[Category]],Operations[Month],$B$11)</f>
        <v>-158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15756.94</v>
      </c>
      <c r="D4" s="9">
        <f ca="1">SUMIFS(Operations[Amount],Operations[Bank],flow_11[[#This Row],[Bank]],Operations[Product],flow_11[[#This Row],[Product]],Operations[Month],$B$11)</f>
        <v>960</v>
      </c>
      <c r="E4" s="9">
        <f ca="1">flow_11[[#This Row],[Opening balance]]+flow_11[[#This Row],[Operations]]</f>
        <v>16716.940000000002</v>
      </c>
      <c r="H4" t="s">
        <v>29</v>
      </c>
      <c r="I4" s="9">
        <f ca="1">SUMIFS(Operations[Amount],Operations[Category],incomes_11[[#This Row],[Category]],Operations[Month],$B$11)</f>
        <v>400</v>
      </c>
      <c r="K4" t="s">
        <v>20</v>
      </c>
      <c r="L4" s="9">
        <f ca="1">SUMIFS(Operations[Amount],Operations[Category],balance_11[[#This Row],[Category]],Operations[Month],$B$11)</f>
        <v>-214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-40</v>
      </c>
      <c r="D5" s="9">
        <f ca="1">SUMIFS(Operations[Amount],Operations[Bank],flow_11[[#This Row],[Bank]],Operations[Product],flow_11[[#This Row],[Product]],Operations[Month],$B$11)</f>
        <v>40</v>
      </c>
      <c r="E5" s="9">
        <f ca="1">flow_11[[#This Row],[Opening balance]]+flow_11[[#This Row],[Operations]]</f>
        <v>0</v>
      </c>
      <c r="H5" t="s">
        <v>38</v>
      </c>
      <c r="I5" s="9">
        <f ca="1">SUMIFS(Operations[Amount],Operations[Category],incomes_11[[#This Row],[Category]],Operations[Month],$B$11)</f>
        <v>0</v>
      </c>
      <c r="K5" t="s">
        <v>17</v>
      </c>
      <c r="L5" s="9">
        <f ca="1">SUMIFS(Operations[Amount],Operations[Category],balance_11[[#This Row],[Category]],Operations[Month],$B$11)</f>
        <v>-506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0</v>
      </c>
      <c r="D6" s="9">
        <f ca="1">SUMIFS(Operations[Amount],Operations[Bank],flow_11[[#This Row],[Bank]],Operations[Product],flow_11[[#This Row],[Product]],Operations[Month],$B$11)</f>
        <v>0</v>
      </c>
      <c r="E6" s="9">
        <f ca="1">flow_11[[#This Row],[Opening balance]]+flow_11[[#This Row],[Operations]]</f>
        <v>0</v>
      </c>
      <c r="H6" t="s">
        <v>26</v>
      </c>
      <c r="I6" s="9">
        <f ca="1">SUMIFS(Operations[Amount],Operations[Category],incomes_11[[#This Row],[Category]],Operations[Month],$B$11)</f>
        <v>4500</v>
      </c>
      <c r="K6" t="s">
        <v>21</v>
      </c>
      <c r="L6" s="9">
        <f ca="1">SUMIFS(Operations[Amount],Operations[Category],balance_11[[#This Row],[Category]],Operations[Month],$B$11)</f>
        <v>-133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195.51</v>
      </c>
      <c r="D7" s="9">
        <f ca="1">SUMIFS(Operations[Amount],Operations[Bank],flow_11[[#This Row],[Bank]],Operations[Product],flow_11[[#This Row],[Product]],Operations[Month],$B$11)</f>
        <v>0</v>
      </c>
      <c r="E7" s="9">
        <f ca="1">flow_11[[#This Row],[Opening balance]]+flow_11[[#This Row],[Operations]]</f>
        <v>195.51</v>
      </c>
      <c r="H7" t="s">
        <v>27</v>
      </c>
      <c r="I7" s="9">
        <f ca="1">SUMIFS(Operations[Amount],Operations[Category],incomes_11[[#This Row],[Category]],Operations[Month],$B$11)</f>
        <v>0</v>
      </c>
      <c r="K7" t="s">
        <v>19</v>
      </c>
      <c r="L7" s="9">
        <f ca="1">SUMIFS(Operations[Amount],Operations[Category],balance_11[[#This Row],[Category]],Operations[Month],$B$11)</f>
        <v>-47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393</v>
      </c>
      <c r="D8" s="9">
        <f ca="1">SUMIFS(Operations[Amount],Operations[Bank],flow_11[[#This Row],[Bank]],Operations[Product],flow_11[[#This Row],[Product]],Operations[Month],$B$11)</f>
        <v>400</v>
      </c>
      <c r="E8" s="9">
        <f ca="1">flow_11[[#This Row],[Opening balance]]+flow_11[[#This Row],[Operations]]</f>
        <v>793</v>
      </c>
      <c r="H8" t="s">
        <v>36</v>
      </c>
      <c r="I8" s="9">
        <f ca="1">SUBTOTAL(109,incomes_11[Total])</f>
        <v>4900</v>
      </c>
      <c r="K8" t="s">
        <v>24</v>
      </c>
      <c r="L8" s="9">
        <f ca="1">SUMIFS(Operations[Amount],Operations[Category],balance_11[[#This Row],[Category]],Operations[Month],$B$11)</f>
        <v>-234</v>
      </c>
    </row>
    <row r="9" spans="1:27" x14ac:dyDescent="0.3">
      <c r="A9" t="s">
        <v>36</v>
      </c>
      <c r="C9" s="9">
        <f ca="1">SUBTOTAL(109,flow_11[Opening balance])</f>
        <v>17439.95</v>
      </c>
      <c r="D9" s="9">
        <f ca="1">SUBTOTAL(109,flow_11[Operations])</f>
        <v>1400</v>
      </c>
      <c r="E9" s="9">
        <f ca="1">SUBTOTAL(109,flow_11[Closing balance])</f>
        <v>18839.95</v>
      </c>
      <c r="K9" t="s">
        <v>23</v>
      </c>
      <c r="L9" s="9">
        <f ca="1">SUMIFS(Operations[Amount],Operations[Category],balance_11[[#This Row],[Category]],Operations[Month],$B$11)</f>
        <v>0</v>
      </c>
    </row>
    <row r="10" spans="1:27" x14ac:dyDescent="0.3">
      <c r="K10" t="s">
        <v>16</v>
      </c>
      <c r="L10" s="9">
        <f ca="1">SUMIFS(Operations[Amount],Operations[Category],balance_11[[#This Row],[Category]],Operations[Month],$B$11)</f>
        <v>-208</v>
      </c>
    </row>
    <row r="11" spans="1:27" x14ac:dyDescent="0.3">
      <c r="A11" s="8" t="s">
        <v>6</v>
      </c>
      <c r="B11" s="10" t="str" cm="1">
        <f t="array" aca="1" ref="B11" ca="1">_xlfn.TEXTAFTER(CELL("filename",A1),"]")</f>
        <v>11</v>
      </c>
      <c r="K11" t="s">
        <v>36</v>
      </c>
      <c r="L11" s="9">
        <f ca="1">SUBTOTAL(109,balance_11[Total])</f>
        <v>-3500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SUMIFS(Operations[Amount],Operations[Type],expenses_11[[#This Row],[Type]],Operations[Month],$B$11)</f>
        <v>-3500</v>
      </c>
    </row>
    <row r="15" spans="1:27" x14ac:dyDescent="0.3">
      <c r="A15" t="s">
        <v>33</v>
      </c>
      <c r="B15" s="9">
        <f ca="1">SUMIFS(Operations[Amount],Operations[Type],expenses_11[[#This Row],[Type]],Operations[Month],$B$11)</f>
        <v>4900</v>
      </c>
    </row>
    <row r="16" spans="1:27" x14ac:dyDescent="0.3">
      <c r="A16" t="s">
        <v>31</v>
      </c>
      <c r="B16" s="9">
        <f ca="1">SUMIFS(Operations[Amount],Operations[Type],expenses_11[[#This Row],[Type]],Operations[Month],$B$11)</f>
        <v>0</v>
      </c>
    </row>
    <row r="17" spans="1:2" x14ac:dyDescent="0.3">
      <c r="A17" t="s">
        <v>36</v>
      </c>
      <c r="B17" s="9">
        <f ca="1">SUBTOTAL(109,expenses_11[Total])</f>
        <v>1400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D251-EC7B-4740-B8D5-F34CDE6B215B}">
  <dimension ref="A1:AA17"/>
  <sheetViews>
    <sheetView workbookViewId="0">
      <selection activeCell="L25" sqref="A25:L25"/>
    </sheetView>
  </sheetViews>
  <sheetFormatPr defaultRowHeight="14.4" x14ac:dyDescent="0.3"/>
  <cols>
    <col min="1" max="1" width="13.33203125" customWidth="1"/>
    <col min="2" max="2" width="18.44140625" customWidth="1"/>
    <col min="3" max="3" width="19.44140625" customWidth="1"/>
    <col min="4" max="4" width="17.109375" customWidth="1"/>
    <col min="5" max="5" width="18.109375" customWidth="1"/>
    <col min="6" max="6" width="13" customWidth="1"/>
    <col min="7" max="7" width="16.88671875" customWidth="1"/>
    <col min="8" max="8" width="13" customWidth="1"/>
    <col min="9" max="9" width="11.109375" bestFit="1" customWidth="1"/>
    <col min="10" max="10" width="13" customWidth="1"/>
    <col min="11" max="11" width="14.44140625" customWidth="1"/>
    <col min="12" max="12" width="13.44140625" customWidth="1"/>
    <col min="13" max="13" width="15.109375" customWidth="1"/>
  </cols>
  <sheetData>
    <row r="1" spans="1:27" x14ac:dyDescent="0.3">
      <c r="A1" t="s">
        <v>0</v>
      </c>
      <c r="B1" t="s">
        <v>2</v>
      </c>
      <c r="C1" t="s">
        <v>37</v>
      </c>
      <c r="D1" t="s">
        <v>34</v>
      </c>
      <c r="E1" t="s">
        <v>35</v>
      </c>
      <c r="H1" t="s">
        <v>3</v>
      </c>
      <c r="I1" t="s">
        <v>36</v>
      </c>
      <c r="K1" t="s">
        <v>3</v>
      </c>
      <c r="L1" t="s">
        <v>36</v>
      </c>
    </row>
    <row r="2" spans="1:27" x14ac:dyDescent="0.3">
      <c r="A2" t="s">
        <v>11</v>
      </c>
      <c r="B2" t="s">
        <v>8</v>
      </c>
      <c r="C2" s="9" cm="1">
        <f t="array" aca="1" ref="C2" ca="1">INDIRECT("flow_"&amp;$B$11-1&amp;"[@[Closing balance]]")</f>
        <v>548.5</v>
      </c>
      <c r="D2" s="9">
        <f ca="1">SUMIFS(Operations[Amount],Operations[Bank],flow_12[[#This Row],[Bank]],Operations[Product],flow_12[[#This Row],[Product]],Operations[Month],$B$11)</f>
        <v>0</v>
      </c>
      <c r="E2" s="9">
        <f ca="1">flow_12[[#This Row],[Opening balance]]+flow_12[[#This Row],[Operations]]</f>
        <v>548.5</v>
      </c>
      <c r="H2" t="s">
        <v>25</v>
      </c>
      <c r="I2" s="9">
        <f ca="1">SUMIFS(Operations[Amount],Operations[Category],incomes_12[[#This Row],[Category]],Operations[Month],$B$11)</f>
        <v>0</v>
      </c>
      <c r="K2" t="s">
        <v>18</v>
      </c>
      <c r="L2" s="9">
        <f ca="1">SUMIFS(Operations[Amount],Operations[Category],balance_12[[#This Row],[Category]],Operations[Month],$B$11)</f>
        <v>-2000</v>
      </c>
    </row>
    <row r="3" spans="1:27" x14ac:dyDescent="0.3">
      <c r="A3" t="s">
        <v>11</v>
      </c>
      <c r="B3" t="s">
        <v>12</v>
      </c>
      <c r="C3" s="9" cm="1">
        <f t="array" aca="1" ref="C3" ca="1">INDIRECT("flow_"&amp;$B$11-1&amp;"[@[Closing balance]]")</f>
        <v>586</v>
      </c>
      <c r="D3" s="9">
        <f ca="1">SUMIFS(Operations[Amount],Operations[Bank],flow_12[[#This Row],[Bank]],Operations[Product],flow_12[[#This Row],[Product]],Operations[Month],$B$11)</f>
        <v>0</v>
      </c>
      <c r="E3" s="9">
        <f ca="1">flow_12[[#This Row],[Opening balance]]+flow_12[[#This Row],[Operations]]</f>
        <v>586</v>
      </c>
      <c r="H3" t="s">
        <v>28</v>
      </c>
      <c r="I3" s="9">
        <f ca="1">SUMIFS(Operations[Amount],Operations[Category],incomes_12[[#This Row],[Category]],Operations[Month],$B$11)</f>
        <v>0</v>
      </c>
      <c r="K3" t="s">
        <v>22</v>
      </c>
      <c r="L3" s="9">
        <f ca="1">SUMIFS(Operations[Amount],Operations[Category],balance_12[[#This Row],[Category]],Operations[Month],$B$11)</f>
        <v>-120</v>
      </c>
    </row>
    <row r="4" spans="1:27" x14ac:dyDescent="0.3">
      <c r="A4" t="s">
        <v>7</v>
      </c>
      <c r="B4" t="s">
        <v>8</v>
      </c>
      <c r="C4" s="9" cm="1">
        <f t="array" aca="1" ref="C4" ca="1">INDIRECT("flow_"&amp;$B$11-1&amp;"[@[Closing balance]]")</f>
        <v>16716.940000000002</v>
      </c>
      <c r="D4" s="9">
        <f ca="1">SUMIFS(Operations[Amount],Operations[Bank],flow_12[[#This Row],[Bank]],Operations[Product],flow_12[[#This Row],[Product]],Operations[Month],$B$11)</f>
        <v>1320</v>
      </c>
      <c r="E4" s="9">
        <f ca="1">flow_12[[#This Row],[Opening balance]]+flow_12[[#This Row],[Operations]]</f>
        <v>18036.940000000002</v>
      </c>
      <c r="H4" t="s">
        <v>29</v>
      </c>
      <c r="I4" s="9">
        <f ca="1">SUMIFS(Operations[Amount],Operations[Category],incomes_12[[#This Row],[Category]],Operations[Month],$B$11)</f>
        <v>2000</v>
      </c>
      <c r="K4" t="s">
        <v>20</v>
      </c>
      <c r="L4" s="9">
        <f ca="1">SUMIFS(Operations[Amount],Operations[Category],balance_12[[#This Row],[Category]],Operations[Month],$B$11)</f>
        <v>-450</v>
      </c>
      <c r="N4" s="11"/>
      <c r="O4" s="12"/>
    </row>
    <row r="5" spans="1:27" x14ac:dyDescent="0.3">
      <c r="A5" t="s">
        <v>7</v>
      </c>
      <c r="B5" t="s">
        <v>9</v>
      </c>
      <c r="C5" s="9" cm="1">
        <f t="array" aca="1" ref="C5" ca="1">INDIRECT("flow_"&amp;$B$11-1&amp;"[@[Closing balance]]")</f>
        <v>0</v>
      </c>
      <c r="D5" s="9">
        <f ca="1">SUMIFS(Operations[Amount],Operations[Bank],flow_12[[#This Row],[Bank]],Operations[Product],flow_12[[#This Row],[Product]],Operations[Month],$B$11)</f>
        <v>0</v>
      </c>
      <c r="E5" s="9">
        <f ca="1">flow_12[[#This Row],[Opening balance]]+flow_12[[#This Row],[Operations]]</f>
        <v>0</v>
      </c>
      <c r="H5" t="s">
        <v>38</v>
      </c>
      <c r="I5" s="9">
        <f ca="1">SUMIFS(Operations[Amount],Operations[Category],incomes_12[[#This Row],[Category]],Operations[Month],$B$11)</f>
        <v>0</v>
      </c>
      <c r="K5" t="s">
        <v>17</v>
      </c>
      <c r="L5" s="9">
        <f ca="1">SUMIFS(Operations[Amount],Operations[Category],balance_12[[#This Row],[Category]],Operations[Month],$B$11)</f>
        <v>-700</v>
      </c>
      <c r="N5" s="13"/>
      <c r="O5" s="14"/>
    </row>
    <row r="6" spans="1:27" x14ac:dyDescent="0.3">
      <c r="A6" t="s">
        <v>7</v>
      </c>
      <c r="B6" t="s">
        <v>10</v>
      </c>
      <c r="C6" s="9" cm="1">
        <f t="array" aca="1" ref="C6" ca="1">INDIRECT("flow_"&amp;$B$11-1&amp;"[@[Closing balance]]")</f>
        <v>0</v>
      </c>
      <c r="D6" s="9">
        <f ca="1">SUMIFS(Operations[Amount],Operations[Bank],flow_12[[#This Row],[Bank]],Operations[Product],flow_12[[#This Row],[Product]],Operations[Month],$B$11)</f>
        <v>0</v>
      </c>
      <c r="E6" s="9">
        <f ca="1">flow_12[[#This Row],[Opening balance]]+flow_12[[#This Row],[Operations]]</f>
        <v>0</v>
      </c>
      <c r="H6" t="s">
        <v>26</v>
      </c>
      <c r="I6" s="9">
        <f ca="1">SUMIFS(Operations[Amount],Operations[Category],incomes_12[[#This Row],[Category]],Operations[Month],$B$11)</f>
        <v>4500</v>
      </c>
      <c r="K6" t="s">
        <v>21</v>
      </c>
      <c r="L6" s="9">
        <f ca="1">SUMIFS(Operations[Amount],Operations[Category],balance_12[[#This Row],[Category]],Operations[Month],$B$11)</f>
        <v>-10</v>
      </c>
    </row>
    <row r="7" spans="1:27" x14ac:dyDescent="0.3">
      <c r="A7" t="s">
        <v>13</v>
      </c>
      <c r="B7" t="s">
        <v>15</v>
      </c>
      <c r="C7" s="9" cm="1">
        <f t="array" aca="1" ref="C7" ca="1">INDIRECT("flow_"&amp;$B$11-1&amp;"[@[Closing balance]]")</f>
        <v>195.51</v>
      </c>
      <c r="D7" s="9">
        <f ca="1">SUMIFS(Operations[Amount],Operations[Bank],flow_12[[#This Row],[Bank]],Operations[Product],flow_12[[#This Row],[Product]],Operations[Month],$B$11)</f>
        <v>0</v>
      </c>
      <c r="E7" s="9">
        <f ca="1">flow_12[[#This Row],[Opening balance]]+flow_12[[#This Row],[Operations]]</f>
        <v>195.51</v>
      </c>
      <c r="H7" t="s">
        <v>27</v>
      </c>
      <c r="I7" s="9">
        <f ca="1">SUMIFS(Operations[Amount],Operations[Category],incomes_12[[#This Row],[Category]],Operations[Month],$B$11)</f>
        <v>0</v>
      </c>
      <c r="K7" t="s">
        <v>19</v>
      </c>
      <c r="L7" s="9">
        <f ca="1">SUMIFS(Operations[Amount],Operations[Category],balance_12[[#This Row],[Category]],Operations[Month],$B$11)</f>
        <v>0</v>
      </c>
    </row>
    <row r="8" spans="1:27" x14ac:dyDescent="0.3">
      <c r="A8" t="s">
        <v>13</v>
      </c>
      <c r="B8" t="s">
        <v>14</v>
      </c>
      <c r="C8" s="9" cm="1">
        <f t="array" aca="1" ref="C8" ca="1">INDIRECT("flow_"&amp;$B$11-1&amp;"[@[Closing balance]]")</f>
        <v>793</v>
      </c>
      <c r="D8" s="9">
        <f ca="1">SUMIFS(Operations[Amount],Operations[Bank],flow_12[[#This Row],[Bank]],Operations[Product],flow_12[[#This Row],[Product]],Operations[Month],$B$11)</f>
        <v>1100</v>
      </c>
      <c r="E8" s="9">
        <f ca="1">flow_12[[#This Row],[Opening balance]]+flow_12[[#This Row],[Operations]]</f>
        <v>1893</v>
      </c>
      <c r="H8" t="s">
        <v>36</v>
      </c>
      <c r="I8" s="9">
        <f ca="1">SUBTOTAL(109,incomes_12[Total])</f>
        <v>6500</v>
      </c>
      <c r="K8" t="s">
        <v>24</v>
      </c>
      <c r="L8" s="9">
        <f ca="1">SUMIFS(Operations[Amount],Operations[Category],balance_12[[#This Row],[Category]],Operations[Month],$B$11)</f>
        <v>-700</v>
      </c>
    </row>
    <row r="9" spans="1:27" x14ac:dyDescent="0.3">
      <c r="A9" t="s">
        <v>36</v>
      </c>
      <c r="C9" s="9">
        <f ca="1">SUBTOTAL(109,flow_12[Opening balance])</f>
        <v>18839.95</v>
      </c>
      <c r="D9" s="9">
        <f ca="1">SUBTOTAL(109,flow_12[Operations])</f>
        <v>2420</v>
      </c>
      <c r="E9" s="9">
        <f ca="1">SUBTOTAL(109,flow_12[Closing balance])</f>
        <v>21259.95</v>
      </c>
      <c r="K9" t="s">
        <v>23</v>
      </c>
      <c r="L9" s="9">
        <f ca="1">SUMIFS(Operations[Amount],Operations[Category],balance_12[[#This Row],[Category]],Operations[Month],$B$11)</f>
        <v>-100</v>
      </c>
    </row>
    <row r="10" spans="1:27" x14ac:dyDescent="0.3">
      <c r="K10" t="s">
        <v>16</v>
      </c>
      <c r="L10" s="9">
        <f ca="1">SUMIFS(Operations[Amount],Operations[Category],balance_12[[#This Row],[Category]],Operations[Month],$B$11)</f>
        <v>0</v>
      </c>
    </row>
    <row r="11" spans="1:27" x14ac:dyDescent="0.3">
      <c r="A11" s="8" t="s">
        <v>6</v>
      </c>
      <c r="B11" s="10" t="str" cm="1">
        <f t="array" aca="1" ref="B11" ca="1">_xlfn.TEXTAFTER(CELL("filename",A1),"]")</f>
        <v>12</v>
      </c>
      <c r="K11" t="s">
        <v>36</v>
      </c>
      <c r="L11" s="9">
        <f ca="1">SUBTOTAL(109,balance_12[Total])</f>
        <v>-4080</v>
      </c>
    </row>
    <row r="12" spans="1:27" x14ac:dyDescent="0.3">
      <c r="Z12" s="11"/>
      <c r="AA12" s="12"/>
    </row>
    <row r="13" spans="1:27" x14ac:dyDescent="0.3">
      <c r="A13" t="s">
        <v>4</v>
      </c>
      <c r="B13" t="s">
        <v>36</v>
      </c>
      <c r="Z13" s="13"/>
      <c r="AA13" s="14"/>
    </row>
    <row r="14" spans="1:27" x14ac:dyDescent="0.3">
      <c r="A14" t="s">
        <v>32</v>
      </c>
      <c r="B14" s="9">
        <f ca="1">SUMIFS(Operations[Amount],Operations[Type],expenses_12[[#This Row],[Type]],Operations[Month],$B$11)</f>
        <v>-4080</v>
      </c>
    </row>
    <row r="15" spans="1:27" x14ac:dyDescent="0.3">
      <c r="A15" t="s">
        <v>33</v>
      </c>
      <c r="B15" s="9">
        <f ca="1">SUMIFS(Operations[Amount],Operations[Type],expenses_12[[#This Row],[Type]],Operations[Month],$B$11)</f>
        <v>6500</v>
      </c>
    </row>
    <row r="16" spans="1:27" x14ac:dyDescent="0.3">
      <c r="A16" t="s">
        <v>31</v>
      </c>
      <c r="B16" s="9">
        <f ca="1">SUMIFS(Operations[Amount],Operations[Type],expenses_12[[#This Row],[Type]],Operations[Month],$B$11)</f>
        <v>0</v>
      </c>
    </row>
    <row r="17" spans="1:2" x14ac:dyDescent="0.3">
      <c r="A17" t="s">
        <v>36</v>
      </c>
      <c r="B17" s="9">
        <f ca="1">SUBTOTAL(109,expenses_12[Total])</f>
        <v>2420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F2846A-8140-4A52-8ED0-1EEF0254FB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dictionary</vt:lpstr>
      <vt:lpstr>operations</vt:lpstr>
      <vt:lpstr>Summary1</vt:lpstr>
      <vt:lpstr>Summary2</vt:lpstr>
      <vt:lpstr>Summary3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Miernik</dc:creator>
  <cp:lastModifiedBy>Wojciech Miernik</cp:lastModifiedBy>
  <dcterms:created xsi:type="dcterms:W3CDTF">2024-12-14T15:11:08Z</dcterms:created>
  <dcterms:modified xsi:type="dcterms:W3CDTF">2025-12-09T13:50:26Z</dcterms:modified>
</cp:coreProperties>
</file>